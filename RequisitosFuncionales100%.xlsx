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003c79b2ae2760db/Escritorio/Ingeniería del Software 2/Drivers Arquitectónicos DAZMA/"/>
    </mc:Choice>
  </mc:AlternateContent>
  <xr:revisionPtr revIDLastSave="0" documentId="8_{9C4991D3-7D11-497C-BC37-EA87B4A59A5F}" xr6:coauthVersionLast="47" xr6:coauthVersionMax="47" xr10:uidLastSave="{00000000-0000-0000-0000-000000000000}"/>
  <bookViews>
    <workbookView xWindow="-120" yWindow="-120" windowWidth="29040" windowHeight="15720" xr2:uid="{EA8181A1-2752-4F7A-9D07-316FC16B6F72}"/>
  </bookViews>
  <sheets>
    <sheet name="Requisitos Funcionales" sheetId="1" r:id="rId1"/>
    <sheet name="Funcionalidades Críticas" sheetId="15" r:id="rId2"/>
    <sheet name="Atributos de Calidad"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5" i="1" l="1"/>
  <c r="H6" i="1"/>
  <c r="J6" i="1"/>
  <c r="J5" i="1"/>
  <c r="I5" i="1" l="1"/>
  <c r="I6" i="1"/>
</calcChain>
</file>

<file path=xl/sharedStrings.xml><?xml version="1.0" encoding="utf-8"?>
<sst xmlns="http://schemas.openxmlformats.org/spreadsheetml/2006/main" count="343" uniqueCount="199">
  <si>
    <t>Descripción</t>
  </si>
  <si>
    <t>¿Impacta al negocio?</t>
  </si>
  <si>
    <t>¿Es un reto tecnológico?</t>
  </si>
  <si>
    <t>RF-01</t>
  </si>
  <si>
    <t>RF-02</t>
  </si>
  <si>
    <t>RF-03</t>
  </si>
  <si>
    <t>RF-04</t>
  </si>
  <si>
    <t>RF-05</t>
  </si>
  <si>
    <t>RF-06</t>
  </si>
  <si>
    <t>RF-07</t>
  </si>
  <si>
    <t>RF-08</t>
  </si>
  <si>
    <t>RF-09</t>
  </si>
  <si>
    <t>RF-10</t>
  </si>
  <si>
    <t>RF-11</t>
  </si>
  <si>
    <t>RF-12</t>
  </si>
  <si>
    <t>RF-13</t>
  </si>
  <si>
    <t>RF-14</t>
  </si>
  <si>
    <t>RF-15</t>
  </si>
  <si>
    <t>RF-16</t>
  </si>
  <si>
    <t>RF-17</t>
  </si>
  <si>
    <t>RF-18</t>
  </si>
  <si>
    <t>RF-19</t>
  </si>
  <si>
    <t>RF-20</t>
  </si>
  <si>
    <t>RF-21</t>
  </si>
  <si>
    <t>ID</t>
  </si>
  <si>
    <t>¿Por qué?</t>
  </si>
  <si>
    <t>Sí</t>
  </si>
  <si>
    <t>No</t>
  </si>
  <si>
    <t>Es genérico, es un problema ya resuelto</t>
  </si>
  <si>
    <t>Total de Requisitos</t>
  </si>
  <si>
    <t>Requisitos que son retos tecnológicos</t>
  </si>
  <si>
    <t>Seguridad</t>
  </si>
  <si>
    <t>Atributo de Calidad</t>
  </si>
  <si>
    <t>Implícito</t>
  </si>
  <si>
    <t>Explícito</t>
  </si>
  <si>
    <t>Retención/liberación de pagos, validación de credenciales, protección de datos personales y financieros.</t>
  </si>
  <si>
    <t>Que el pago retenido nunca se pierda o libere incorrectamente; consistencia del estado de una negociación ante fallos.</t>
  </si>
  <si>
    <t>Que cambiar el % de comisión o las reglas de un plan premium no requiera modificar lógica dispersa por todo el sistema.</t>
  </si>
  <si>
    <t>Manejo de datos personales y de contacto entre las dos partes de un intercambio.</t>
  </si>
  <si>
    <t>Claridad del flujo de propuesta/contraoferta para usuarios sin experiencia técnica.</t>
  </si>
  <si>
    <t>Integración con la pasarela de pagos externa (Wompi/PSE) y su manejo de errores/webhooks.</t>
  </si>
  <si>
    <t xml:space="preserve"> El estado de una propuesta (pendiente, aceptada, rechazada, cancelada) y del pago retenido no puede quedar ambiguo o duplicado, incluso si dos acciones llegan casi al mismo tiempo.</t>
  </si>
  <si>
    <t>Manejo de negociaciones y pagos concurrentes a medida que crece el número de usuarios.</t>
  </si>
  <si>
    <t>Que la plataforma esté accesible cuando alguien va a confirmar una entrega presencial o completar un pago.</t>
  </si>
  <si>
    <r>
      <t>Disponibilidad</t>
    </r>
    <r>
      <rPr>
        <sz val="11"/>
        <color theme="1"/>
        <rFont val="Aptos Narrow"/>
        <family val="2"/>
        <scheme val="minor"/>
      </rPr>
      <t xml:space="preserve">  </t>
    </r>
  </si>
  <si>
    <r>
      <t>Escalabilidad</t>
    </r>
    <r>
      <rPr>
        <sz val="11"/>
        <color theme="1"/>
        <rFont val="Aptos Narrow"/>
        <family val="2"/>
        <scheme val="minor"/>
      </rPr>
      <t xml:space="preserve"> </t>
    </r>
  </si>
  <si>
    <r>
      <t>Usabilidad</t>
    </r>
    <r>
      <rPr>
        <sz val="11"/>
        <color theme="1"/>
        <rFont val="Aptos Narrow"/>
        <family val="2"/>
        <scheme val="minor"/>
      </rPr>
      <t xml:space="preserve"> </t>
    </r>
  </si>
  <si>
    <r>
      <t>Privacidad</t>
    </r>
    <r>
      <rPr>
        <sz val="11"/>
        <color theme="1"/>
        <rFont val="Aptos Narrow"/>
        <family val="2"/>
        <scheme val="minor"/>
      </rPr>
      <t xml:space="preserve"> </t>
    </r>
  </si>
  <si>
    <t>X</t>
  </si>
  <si>
    <t>Interoperabilidad</t>
  </si>
  <si>
    <t xml:space="preserve">Cumplimiento normativo </t>
  </si>
  <si>
    <t xml:space="preserve">Consistencia </t>
  </si>
  <si>
    <t>Rendimiento</t>
  </si>
  <si>
    <t>Confiabilidad</t>
  </si>
  <si>
    <t xml:space="preserve">Mantenibilidad  </t>
  </si>
  <si>
    <t xml:space="preserve">Trazabilidad </t>
  </si>
  <si>
    <t>El sistema debe permitir reconstruir las operaciones críticas relacionadas con pagos, propuestas y liberación de dinero, identificando quién realizó la acción, cuándo ocurrió y qué estado cambió.</t>
  </si>
  <si>
    <t>El sistema debe diseñarse considerando las obligaciones aplicables al tratamiento de datos personales, operaciones comerciales y servicios de pago.</t>
  </si>
  <si>
    <t>Código</t>
  </si>
  <si>
    <t>El sistema debe permitir iniciar sesión con usuario y contraseña al sistema</t>
  </si>
  <si>
    <t>El sistema debe permitir recuperar la contraseña en caso de que el usuario la haya olvidado</t>
  </si>
  <si>
    <t>El sistema debe permitir registrar usuarios con nombre, apellido, correo y contraseña</t>
  </si>
  <si>
    <t>El sistema debe permitirle a un usuario consultar su propia información</t>
  </si>
  <si>
    <t>El sistema debe permitirle al usuario actualizar sus datos</t>
  </si>
  <si>
    <t>El sistema debe permitirle al usuario eliminar su cuenta</t>
  </si>
  <si>
    <t>El sistema debe permitir eliminar publicaciones</t>
  </si>
  <si>
    <t>El sistema debe permitir visualizar las publicaciones</t>
  </si>
  <si>
    <t>RF-22</t>
  </si>
  <si>
    <t>RF-23</t>
  </si>
  <si>
    <t>RF-24</t>
  </si>
  <si>
    <t>RF-25</t>
  </si>
  <si>
    <t>RF-26</t>
  </si>
  <si>
    <t>RF-27</t>
  </si>
  <si>
    <t>RF-28</t>
  </si>
  <si>
    <t>RF-29</t>
  </si>
  <si>
    <t>El sistema debe permitir crear publicaciones con producto, tipo (Compra/intercambio), nombre, descripción, fotos y ciudad</t>
  </si>
  <si>
    <t>El sistema debe permitir filtrar las publicaciones por parámetros como ciudad, precio o categoría</t>
  </si>
  <si>
    <t>El sistema debe permitir agregar productos a una lista de favoritos</t>
  </si>
  <si>
    <t xml:space="preserve">El sistema debe permitir comprarle un producto directamente al vendedor </t>
  </si>
  <si>
    <t>El sistema debe permitir pagar el encime de un intercambio a través de una pasarela</t>
  </si>
  <si>
    <t>El sistema debe retener el dinero de una compra o intercambio hasta la confirmación de entrega por parte de ambos miembros</t>
  </si>
  <si>
    <t>El sistema debe liberar el dinero hacia el vendedor/persona con el objeto de mayor valor en un intercambio luego de la confirmación de entrega por parte de ambos miembros</t>
  </si>
  <si>
    <t>El sistema debe calcular la comisión del valor de la compra o encime de un intercambio</t>
  </si>
  <si>
    <t>El sistema debe permitir suscribirse a uno de los planes premium que ofrece la plataforma pagando a través de una pasarela de pago</t>
  </si>
  <si>
    <t>El sistema debe notificarle al usuario por medio de correo electrónico propuestas de intercambio o compra</t>
  </si>
  <si>
    <t>El sistema debe notificarle al usuario por medio de correo electrónico que hay nuevos mensajes en un chat</t>
  </si>
  <si>
    <t>El sistema debe permitir iniciar un chat con el dueño de una publicación para aclarar detalles de la negociación</t>
  </si>
  <si>
    <t>RF-30</t>
  </si>
  <si>
    <t>El sistema debe permitir enviar mensajes en un chat</t>
  </si>
  <si>
    <t>El sistema debe permitir consultar la reputación de un usuario</t>
  </si>
  <si>
    <t>El sistema debe permitir reportar publicaciones con contenido inapropiado o engañoso</t>
  </si>
  <si>
    <t>El sistema debe permitir reportar usuarios por incumplir las normas de la plataforma</t>
  </si>
  <si>
    <t xml:space="preserve">El sistema debe permitir visualizar los reportes a los administradores </t>
  </si>
  <si>
    <t>El sistema debe permitir pagar una insignia de verificación por medio de una pasarela de pago</t>
  </si>
  <si>
    <t>RF-31</t>
  </si>
  <si>
    <t>RF-32</t>
  </si>
  <si>
    <t>RF-33</t>
  </si>
  <si>
    <t>Funcionalidad Crítica</t>
  </si>
  <si>
    <t>Justificación</t>
  </si>
  <si>
    <t>El sistema debe priorizar en los resultados de búsqueda y listados las publicaciones de usuarios con un plan premium activo.</t>
  </si>
  <si>
    <t>El sistema debe permitir a los administradores marcar al usuario responsable de una publicación o comportamiento inapropiado en chat con un strike.</t>
  </si>
  <si>
    <t>RF-34</t>
  </si>
  <si>
    <t>El sistema debe permitir a cada parte de un intercambio o compra confirmar que la entrega presencial fue completada exitosamente.</t>
  </si>
  <si>
    <t>RF-35</t>
  </si>
  <si>
    <t>El sistema debe permitir cancelar una propuesta de intercambio o compra antes de su confirmación final.</t>
  </si>
  <si>
    <t>RF-36</t>
  </si>
  <si>
    <t>El sistema debe reembolsar el dinero retenido de una compra o intercambio si este se cancela antes de la confirmación de entrega.</t>
  </si>
  <si>
    <t>RF-37</t>
  </si>
  <si>
    <t>El sistema debe permitir consultar la lista de publicaciones marcadas como favoritas por el usuario.</t>
  </si>
  <si>
    <t>RF-38</t>
  </si>
  <si>
    <t>El sistema debe permitir eliminar una publicación de la lista de favoritos del usuario.</t>
  </si>
  <si>
    <t>RF-39</t>
  </si>
  <si>
    <t>El sistema debe permitir a los administradores cerrar la cuenta de un usuario responsable de una publicación o comportamiento inapropiado en chat.</t>
  </si>
  <si>
    <t>Es implícito porque el sistema debe asegurar que los pagos, estados y operaciones se ejecuten correctamente y sin pérdida de información, aunque los requisitos no establezcan directamente métricas de confiabilidad.</t>
  </si>
  <si>
    <t>El sistema debe permitir editar cualquier apartado de una publicación creada</t>
  </si>
  <si>
    <t>Es implícito porque para realizar compras, pagos, confirmaciones y demás operaciones se asume que la plataforma debe encontrarse accesible cuando el usuario la necesite, aunque no se indique un porcentaje de disponibilidad.</t>
  </si>
  <si>
    <t>Es explícito porque se establece directamente un tiempo máximo de respuesta para las búsquedas y la mensajería, permitiendo medir objetivamente el desempeño esperado del sistema.</t>
  </si>
  <si>
    <t>Es explícito porque se contempla que el sistema debe soportar el crecimiento progresivo de usuarios y operaciones concurrentes sin afectar significativamente su funcionamiento.</t>
  </si>
  <si>
    <t>El sistema debe marcar una publicación como no disponible luego de que se finalice una compra o intercambio de la misma</t>
  </si>
  <si>
    <t>Es explícito porque el proyecto contempla integraciones con servicios externos y las funcionalidades de pago requieren comunicación con una pasarela externa.</t>
  </si>
  <si>
    <t>Es explícito porque desde la definición del proyecto se propone una interfaz intuitiva, accesible y orientada a facilitar la interacción entre compradores y vendedores.</t>
  </si>
  <si>
    <t>Es implícito porque para investigar operaciones críticas debe poder conocerse quién realizó una acción, cuándo ocurrió y qué cambió, aunque no existe un requisito funcional que solicite directamente un módulo de auditoría.</t>
  </si>
  <si>
    <t>El sistema debe permitir acceder al historial de intercambios de cualquier usuario</t>
  </si>
  <si>
    <t>El sistema debe permitir al usuario acceder a su historial de compras e intercambios finalizados o en curso con el estado en que se encuentre</t>
  </si>
  <si>
    <t>El sistema debe verificar que un usuario no se haga una propuesta de intercambio o se compre a sí mismo</t>
  </si>
  <si>
    <t>El sistema debe permitir crear nuevos planes de suscripción</t>
  </si>
  <si>
    <t>El sistema debe permitir cancelar su suscripción a un plan premium</t>
  </si>
  <si>
    <t>El sistema debe permitir cerrar sesión</t>
  </si>
  <si>
    <t>El sistema debe permitir realizar propuestas de intercambio con producto, valor, encime y lugar</t>
  </si>
  <si>
    <t>RF-40</t>
  </si>
  <si>
    <t>RF-41</t>
  </si>
  <si>
    <t>RF-42</t>
  </si>
  <si>
    <t>RF-43</t>
  </si>
  <si>
    <t>RF-44</t>
  </si>
  <si>
    <t>RF-45</t>
  </si>
  <si>
    <t>El sistema debe permitir calificar a un usuario luego de un intercambio o compra en una escala numérica de 1 a 5</t>
  </si>
  <si>
    <t>Requisitos que impactan al negocio</t>
  </si>
  <si>
    <t>Porcentaje(%)</t>
  </si>
  <si>
    <t>Número</t>
  </si>
  <si>
    <t>El sistema debe permitir realizar contraofertas a un intercambio propuesto</t>
  </si>
  <si>
    <t>RF-46</t>
  </si>
  <si>
    <t>El sistema debe permitir aceptar o rechazar propuestas de intercambio</t>
  </si>
  <si>
    <t>CRUD genérico, sin valor diferencial ni dificultad técnica.</t>
  </si>
  <si>
    <t>Mismo caso, funcionalidad de moderación genérica.</t>
  </si>
  <si>
    <t>Es nuestra propuesta de valor principal</t>
  </si>
  <si>
    <t>Es una funcionalidad genérica</t>
  </si>
  <si>
    <t>Filtrar por ciudad es importante para la idea de negocio</t>
  </si>
  <si>
    <t>Es nuestro motor principal de generación de valor</t>
  </si>
  <si>
    <t>Es parte del posible flujo de los intercambios</t>
  </si>
  <si>
    <t>Es una verificación básica</t>
  </si>
  <si>
    <t>Es algo genérico</t>
  </si>
  <si>
    <t>Porque permite fomalizar el intercambio, que es parte fundamental del negocio</t>
  </si>
  <si>
    <t>Es la función principal de uno de nuestros segmentos</t>
  </si>
  <si>
    <t>Aquí se garantiza que el dinero pase por la plataforma, asegurando la monetización de la misma</t>
  </si>
  <si>
    <t>Es parte del cierre financiero del intercambio y tiene una parte importante de complejidad de las reglas de negocio</t>
  </si>
  <si>
    <t>Es un proceso importantísimo de seguridad que le da confianza al cliente. Es un reto porque se necesita hacer una buena integración con las reglas de negocio y estados para que el sistema no se corrompa</t>
  </si>
  <si>
    <t>Es lógica de las comisiones que se hayan tomado de forma matemática</t>
  </si>
  <si>
    <t>Es un patrón freemium estándar, ya está establecido</t>
  </si>
  <si>
    <t>Es un CRUD simple desde la parte administrativa</t>
  </si>
  <si>
    <t>Es una funcionalidad de gestión de cuenta genérica</t>
  </si>
  <si>
    <t>No se necesita implementar una pasarela de pago, solo integrarla</t>
  </si>
  <si>
    <t>Es una regla de ordenamiento que puede seguir algoritmos ya creados y probados</t>
  </si>
  <si>
    <t>Recuperabilidad</t>
  </si>
  <si>
    <t>Capacidad de restaurar negociaciones, pagos y estados críticos después de una falla grave de base de datos o infraestructura.</t>
  </si>
  <si>
    <t>Es crítica porque conecta la operación digital con el evento físico que permite finalizarla. La confirmación de entrega por ambas partes es una condición necesaria para determinar que el intercambio se completó y, por tanto, afecta directamente el flujo de seguridad y liberación del dinero.</t>
  </si>
  <si>
    <t>Es un patrón estándar de notificaciones, hay soluciones ya creadas y no es nuestro diferencial competidor</t>
  </si>
  <si>
    <t>Es una funcionalidad básica no inherente a la generación de valor del proyecto, además de que es un problema ya solucionado y probado ampliamente</t>
  </si>
  <si>
    <t>Es una funcionalidad que aumenta la cantidad de datos para la reputación de un usuario, lo que es importante para cumplir con la promesa de confianza de la plataforma</t>
  </si>
  <si>
    <t>Es una funcionalidad básica que no genera valor al negocio y no tiene una gran complejidad de implementación</t>
  </si>
  <si>
    <t>Es una funcionalidad importante para cumplir con la promesa de confianza del proyecto</t>
  </si>
  <si>
    <r>
      <t>Es la manera en que un usuario puede tener o no confianza en realizar una compra/intercambio con</t>
    </r>
    <r>
      <rPr>
        <sz val="11"/>
        <color theme="1"/>
        <rFont val="Aptos Narrow"/>
        <family val="2"/>
        <scheme val="minor"/>
      </rPr>
      <t xml:space="preserve"> otro</t>
    </r>
  </si>
  <si>
    <t>Es una moderación genérica presente en cualquier plataforma</t>
  </si>
  <si>
    <t>Es una herramienta administrativa interna, consulta simple.</t>
  </si>
  <si>
    <t>Es una moderación genérica y sin mucha complejidad técnica</t>
  </si>
  <si>
    <t>Es la función final del flujo completo de una compra/intercambio en la plataforma, permite confirmar que todo salió bien</t>
  </si>
  <si>
    <t>Es una función que le da control al usuario de la negociación, lo que le da cierta tolerancia a fallos en su decisión</t>
  </si>
  <si>
    <t>Es una funcionalidad genérica, parte de un CRUD, no aporta valor al negocio</t>
  </si>
  <si>
    <t>Es una accción administrativa estándar que no aporta valor de negocio</t>
  </si>
  <si>
    <t>Es crítica porque materializa el dominio de negocio de nuestro proyecto: La negociación de intercambios. Permite iniciar una operación especificando los productos que serán negociados y constituye el punto de partida del flujo principal de generación de valor de la plataforma.</t>
  </si>
  <si>
    <t xml:space="preserve">Es crítica porque forma parte directamente del mecanismo de negociación que diferencia al proyecto de un marketplace convencional. Permitir contraofertas hace posible que el intercambio sea dinámico y no se limite a una propuesta de compra de un solo lado. </t>
  </si>
  <si>
    <t>Es crítica porque, aunque la compra directa es un segmento secundario del negocio, reutiliza el mecanismo económico mediante el cual se obtienen ingresos. La comisión se calcula sobre el dinero que pasa por la plataforma, por lo que esta funcionalidad condiciona capacidades relacionadas con pagos, comisiones y ciclo de vida de la operación.</t>
  </si>
  <si>
    <t>Es crítica porque materializa una parte fundamental de la promesa de valor relacionada con la seguridad de las operaciones. Retener el dinero hasta que ambas partes confirmen la entrega introduce decisiones arquitectónicas relacionadas con el estado de la operación, coordinación entre las partes y comunicación con la pasarela de pagos.</t>
  </si>
  <si>
    <t>Es crítica porque determina el resultado financiero de un intercambio con diferencia monetaria. El sistema debe identificar quién debe recibir los fondos y garantizar que la liberación ocurra únicamente después de cumplirse la finalización de la operación</t>
  </si>
  <si>
    <t>Es crítica porque define uno de los caminos principales del ciclo de vida de una operación. Debe determinarse en qué estados puede cancelarse una operación y qué consecuencias tiene dicha cancelación sobre los demás elementos del proceso, especialmente sobre el dinero retenido.</t>
  </si>
  <si>
    <t>Es crítica porque establece qué pasa con el dinero cuando una operación no llega a completarse. Forma parte de la garantía financiera ofrecida por la plataforma y debe coordinarse con el estado de la operación y con la pasarela de pagos para evitar que una cancelación deje el dinero en el lugar incorrecto</t>
  </si>
  <si>
    <t>Es crítica porque formaliza el resultado de la negociación. La aceptación o rechazo determina si una propuesta se convierte en una operación acordada o finaliza sin intercambio entre dichos usuarios.</t>
  </si>
  <si>
    <t>Es implícito porque el cliente no va a decir qué prácticas debemos utilizar o que el proyecto debe ser modular, es algo que como ingenieros debemos asumir</t>
  </si>
  <si>
    <t>Es una función que protege el dinero si el encuentro no se lleva a cabo o no se concreta, de vital importancia para la seguridad de los usuarios; en este caso la pasarela ya tiene la solución implementada</t>
  </si>
  <si>
    <t>Es implícito porque el usuario no dice que el sistema debe ser seguro, ni que los datos se deben mantener cifrados, pero estas son implicaciones que el ingeniero debe asumir como necesarias</t>
  </si>
  <si>
    <t>Es implícito porque las propuestas y pagos deben mantener siempre estados válidos y coherentes, evitando información contradictoria</t>
  </si>
  <si>
    <t>Es implícito porque el proyecto maneja información personal y de contacto que debe protegerse y limitarse según autorización</t>
  </si>
  <si>
    <t>Es implícito porque el tratamiento de datos personales, las operaciones comerciales y los servicios de pago obligan a considerar requisitos legales</t>
  </si>
  <si>
    <t>Es implícito porque las operaciones financieras y los estados de negociación no pueden perderse de forma irreversible ante fallos</t>
  </si>
  <si>
    <t xml:space="preserve">Es una funcionalidad que aumenta la cantidad de datos para la reputación de un usuario, lo que es importante para cumplir con la promesa de confianza de la plataforma, y asi los usuarios puedan tener confinza a la hora de comprar  </t>
  </si>
  <si>
    <t>Es una funcionalidad importante para cumplir con la promesa de confianza del proyecto, y a su vez, permite ver la confiabilidad de la persona con la cual realizará el intercambio o, en su defecto, a quien le comprara algun producto</t>
  </si>
  <si>
    <r>
      <t>Porque facilita que un usuario tenga o no confianza en realizar una compra/intercambio con</t>
    </r>
    <r>
      <rPr>
        <sz val="11"/>
        <color theme="1"/>
        <rFont val="Aptos Narrow"/>
        <family val="2"/>
        <scheme val="minor"/>
      </rPr>
      <t xml:space="preserve"> otro, lo cual le da seguridad en la plataforma. Así puede ver si este usuario es confiable, es bueno y cómo le ha ido en sus intercambios anteriores</t>
    </r>
  </si>
  <si>
    <t>Es significativa porque las publicaciones son el punto de entrada del marketplace y permiten representar la oferta disponible para compra o intercambio. Sin este elemento no puede iniciarse el flujo comercial principal ni materializarse la propuesta de valor</t>
  </si>
  <si>
    <t>Los filtros ayudan a los compradores a ver articulos en especifico, permitiendo buscarlos por lugar de venta, precio, categorias y mas filtros que ayudan a facilitar las busquedas</t>
  </si>
  <si>
    <t>La velocidad a la hora de hacer una búsqueda,mandar un mensaje en un chat o recibirlo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</si>
</sst>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sz val="8"/>
      <name val="Aptos Narrow"/>
      <family val="2"/>
      <scheme val="minor"/>
    </font>
    <font>
      <b/>
      <sz val="11"/>
      <color theme="1"/>
      <name val="Aptos Narrow"/>
      <family val="2"/>
      <scheme val="minor"/>
    </font>
    <font>
      <b/>
      <sz val="14"/>
      <color theme="1"/>
      <name val="Aptos Narrow"/>
      <family val="2"/>
      <scheme val="minor"/>
    </font>
    <font>
      <sz val="11"/>
      <name val="Carlito"/>
    </font>
    <font>
      <b/>
      <sz val="11"/>
      <color theme="1"/>
      <name val="Arial"/>
      <family val="2"/>
    </font>
    <font>
      <sz val="12"/>
      <color theme="1"/>
      <name val="Aptos Narrow"/>
      <family val="2"/>
      <scheme val="minor"/>
    </font>
    <font>
      <sz val="11"/>
      <color theme="1"/>
      <name val="Aptos Narrow"/>
    </font>
    <font>
      <sz val="11"/>
      <color theme="1"/>
      <name val="Aptos Narrow"/>
      <family val="2"/>
    </font>
    <font>
      <b/>
      <sz val="14"/>
      <color theme="1"/>
      <name val="Aptos Narrow"/>
      <family val="2"/>
    </font>
    <font>
      <sz val="14"/>
      <color theme="1"/>
      <name val="Aptos Narrow"/>
      <family val="2"/>
    </font>
  </fonts>
  <fills count="9">
    <fill>
      <patternFill patternType="none"/>
    </fill>
    <fill>
      <patternFill patternType="gray125"/>
    </fill>
    <fill>
      <patternFill patternType="solid">
        <fgColor theme="4" tint="0.59999389629810485"/>
        <bgColor indexed="64"/>
      </patternFill>
    </fill>
    <fill>
      <patternFill patternType="solid">
        <fgColor theme="9" tint="0.59999389629810485"/>
        <bgColor indexed="64"/>
      </patternFill>
    </fill>
    <fill>
      <patternFill patternType="solid">
        <fgColor rgb="FFFFFF99"/>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rgb="FFFFFFFF"/>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4" fillId="0" borderId="0"/>
    <xf numFmtId="0" fontId="7" fillId="0" borderId="0"/>
    <xf numFmtId="0" fontId="8" fillId="0" borderId="0"/>
  </cellStyleXfs>
  <cellXfs count="36">
    <xf numFmtId="0" fontId="0" fillId="0" borderId="0" xfId="0"/>
    <xf numFmtId="0" fontId="0" fillId="0" borderId="0" xfId="0" applyAlignment="1">
      <alignment horizont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wrapText="1"/>
    </xf>
    <xf numFmtId="0" fontId="0" fillId="4" borderId="1" xfId="0" applyFill="1" applyBorder="1" applyAlignment="1">
      <alignment horizont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3" fillId="0" borderId="1" xfId="0" applyFont="1" applyBorder="1" applyAlignment="1">
      <alignment horizontal="center" vertical="center" wrapText="1"/>
    </xf>
    <xf numFmtId="0" fontId="0" fillId="0" borderId="1" xfId="0" applyBorder="1" applyAlignment="1">
      <alignment vertical="center" wrapText="1"/>
    </xf>
    <xf numFmtId="0" fontId="5" fillId="2" borderId="1" xfId="0" applyFont="1" applyFill="1" applyBorder="1" applyAlignment="1">
      <alignment horizontal="center" vertical="center"/>
    </xf>
    <xf numFmtId="0" fontId="2" fillId="0" borderId="0" xfId="0" applyFont="1" applyAlignment="1">
      <alignment horizontal="center" vertical="center" wrapText="1"/>
    </xf>
    <xf numFmtId="0" fontId="2" fillId="3" borderId="1" xfId="0" applyFont="1" applyFill="1" applyBorder="1" applyAlignment="1">
      <alignment horizontal="center" wrapText="1"/>
    </xf>
    <xf numFmtId="0" fontId="0" fillId="5" borderId="1" xfId="0" applyFill="1" applyBorder="1" applyAlignment="1">
      <alignment horizontal="center" vertical="center"/>
    </xf>
    <xf numFmtId="0" fontId="0" fillId="5" borderId="1" xfId="0" applyFill="1" applyBorder="1" applyAlignment="1">
      <alignment horizontal="left" vertical="center" wrapText="1"/>
    </xf>
    <xf numFmtId="0" fontId="0" fillId="5" borderId="1" xfId="0" applyFill="1" applyBorder="1" applyAlignment="1">
      <alignment horizontal="center" vertical="center" wrapText="1"/>
    </xf>
    <xf numFmtId="0" fontId="0" fillId="5" borderId="0" xfId="0" applyFill="1"/>
    <xf numFmtId="0" fontId="0" fillId="5" borderId="0" xfId="0" applyFill="1" applyAlignment="1">
      <alignment wrapText="1"/>
    </xf>
    <xf numFmtId="0" fontId="0" fillId="5" borderId="1" xfId="0" applyFill="1" applyBorder="1" applyAlignment="1">
      <alignment horizontal="left" vertical="center"/>
    </xf>
    <xf numFmtId="0" fontId="0" fillId="5" borderId="3" xfId="0" applyFill="1" applyBorder="1" applyAlignment="1">
      <alignment horizontal="center" vertical="center"/>
    </xf>
    <xf numFmtId="0" fontId="0" fillId="6" borderId="1" xfId="0" applyFill="1" applyBorder="1" applyAlignment="1">
      <alignment horizontal="center" vertical="center"/>
    </xf>
    <xf numFmtId="0" fontId="6" fillId="5" borderId="0" xfId="0" applyFont="1" applyFill="1" applyAlignment="1">
      <alignment horizontal="center" vertical="center" wrapText="1"/>
    </xf>
    <xf numFmtId="0" fontId="0" fillId="7" borderId="1" xfId="0" applyFill="1" applyBorder="1" applyAlignment="1">
      <alignment horizontal="center" vertical="center"/>
    </xf>
    <xf numFmtId="0" fontId="0" fillId="7" borderId="1" xfId="0" applyFill="1" applyBorder="1" applyAlignment="1">
      <alignment horizontal="center" vertical="center" wrapText="1"/>
    </xf>
    <xf numFmtId="0" fontId="0" fillId="7" borderId="1" xfId="0" applyFill="1" applyBorder="1" applyAlignment="1">
      <alignment vertical="center" wrapText="1"/>
    </xf>
    <xf numFmtId="0" fontId="7" fillId="8" borderId="1" xfId="2" applyFill="1" applyBorder="1" applyAlignment="1">
      <alignment horizontal="center" vertical="center" wrapText="1"/>
    </xf>
    <xf numFmtId="0" fontId="8" fillId="8" borderId="1" xfId="2" applyFont="1" applyFill="1" applyBorder="1" applyAlignment="1">
      <alignment horizontal="center" vertical="center" wrapText="1"/>
    </xf>
    <xf numFmtId="0" fontId="3" fillId="0" borderId="2" xfId="0" applyFont="1" applyBorder="1" applyAlignment="1">
      <alignment horizontal="center" vertical="center" wrapText="1"/>
    </xf>
    <xf numFmtId="0" fontId="3" fillId="7" borderId="1" xfId="0" applyFont="1" applyFill="1" applyBorder="1" applyAlignment="1">
      <alignment horizontal="center" vertical="center" wrapText="1"/>
    </xf>
    <xf numFmtId="0" fontId="9" fillId="8" borderId="1" xfId="2" applyFont="1" applyFill="1" applyBorder="1" applyAlignment="1">
      <alignment horizontal="center" vertical="center" wrapText="1"/>
    </xf>
    <xf numFmtId="0" fontId="10" fillId="8" borderId="1" xfId="2" applyFont="1" applyFill="1" applyBorder="1" applyAlignment="1">
      <alignment horizontal="center" vertical="center" wrapText="1"/>
    </xf>
    <xf numFmtId="0" fontId="0" fillId="5" borderId="4" xfId="0" applyFill="1" applyBorder="1" applyAlignment="1">
      <alignment horizontal="center" vertical="center" wrapText="1"/>
    </xf>
    <xf numFmtId="0" fontId="0" fillId="7" borderId="1" xfId="0" applyFill="1" applyBorder="1" applyAlignment="1">
      <alignment horizontal="left" vertical="center" wrapText="1"/>
    </xf>
    <xf numFmtId="0" fontId="0" fillId="5" borderId="3" xfId="0" applyFill="1" applyBorder="1" applyAlignment="1">
      <alignment horizontal="center" vertical="center" wrapText="1"/>
    </xf>
  </cellXfs>
  <cellStyles count="4">
    <cellStyle name="Normal" xfId="0" builtinId="0"/>
    <cellStyle name="Normal 2" xfId="1" xr:uid="{EE591911-C4D0-4286-A6F6-0BB210C0CA7F}"/>
    <cellStyle name="Normal 3" xfId="2" xr:uid="{1E50DD98-2E81-494A-BEAB-4360DE161297}"/>
    <cellStyle name="Normal 4" xfId="3" xr:uid="{C6B05011-7D89-4A94-A880-CCE03D5DFB6B}"/>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AA8D9-A969-4F22-80BA-79CAB9EFEBA3}">
  <dimension ref="A1:T47"/>
  <sheetViews>
    <sheetView tabSelected="1" topLeftCell="B1" zoomScaleNormal="100" workbookViewId="0">
      <selection activeCell="F10" sqref="F10"/>
    </sheetView>
  </sheetViews>
  <sheetFormatPr baseColWidth="10" defaultRowHeight="15"/>
  <cols>
    <col min="1" max="1" width="25.140625" customWidth="1"/>
    <col min="2" max="2" width="83.85546875" customWidth="1"/>
    <col min="3" max="3" width="27.5703125" customWidth="1"/>
    <col min="4" max="4" width="27.28515625" style="1" customWidth="1"/>
    <col min="5" max="5" width="62.28515625" customWidth="1"/>
    <col min="7" max="7" width="21.5703125" customWidth="1"/>
    <col min="8" max="8" width="9.140625" customWidth="1"/>
    <col min="9" max="9" width="19.5703125" customWidth="1"/>
    <col min="10" max="10" width="19" customWidth="1"/>
    <col min="11" max="11" width="14.5703125" customWidth="1"/>
    <col min="12" max="12" width="20" customWidth="1"/>
  </cols>
  <sheetData>
    <row r="1" spans="1:20" ht="30" customHeight="1">
      <c r="A1" s="12" t="s">
        <v>24</v>
      </c>
      <c r="B1" s="12" t="s">
        <v>0</v>
      </c>
      <c r="C1" s="12" t="s">
        <v>1</v>
      </c>
      <c r="D1" s="12" t="s">
        <v>2</v>
      </c>
      <c r="E1" s="12" t="s">
        <v>25</v>
      </c>
    </row>
    <row r="2" spans="1:20" ht="32.25" customHeight="1">
      <c r="A2" s="2" t="s">
        <v>3</v>
      </c>
      <c r="B2" s="8" t="s">
        <v>61</v>
      </c>
      <c r="C2" s="2" t="s">
        <v>27</v>
      </c>
      <c r="D2" s="2" t="s">
        <v>27</v>
      </c>
      <c r="E2" s="3" t="s">
        <v>28</v>
      </c>
    </row>
    <row r="3" spans="1:20" ht="32.25" customHeight="1">
      <c r="A3" s="2" t="s">
        <v>4</v>
      </c>
      <c r="B3" s="8" t="s">
        <v>59</v>
      </c>
      <c r="C3" s="2" t="s">
        <v>27</v>
      </c>
      <c r="D3" s="2" t="s">
        <v>27</v>
      </c>
      <c r="E3" s="3" t="s">
        <v>28</v>
      </c>
    </row>
    <row r="4" spans="1:20" ht="32.25" customHeight="1">
      <c r="A4" s="2" t="s">
        <v>5</v>
      </c>
      <c r="B4" s="8" t="s">
        <v>127</v>
      </c>
      <c r="C4" s="2" t="s">
        <v>27</v>
      </c>
      <c r="D4" s="2" t="s">
        <v>27</v>
      </c>
      <c r="E4" s="3" t="s">
        <v>28</v>
      </c>
      <c r="H4" s="7" t="s">
        <v>138</v>
      </c>
      <c r="I4" s="7" t="s">
        <v>137</v>
      </c>
      <c r="J4" s="7" t="s">
        <v>29</v>
      </c>
    </row>
    <row r="5" spans="1:20" ht="30">
      <c r="A5" s="2" t="s">
        <v>6</v>
      </c>
      <c r="B5" s="8" t="s">
        <v>60</v>
      </c>
      <c r="C5" s="2" t="s">
        <v>27</v>
      </c>
      <c r="D5" s="2" t="s">
        <v>27</v>
      </c>
      <c r="E5" s="3" t="s">
        <v>28</v>
      </c>
      <c r="G5" s="14" t="s">
        <v>136</v>
      </c>
      <c r="H5" s="5">
        <f>COUNTIF(C2:C47, "Sí")</f>
        <v>15</v>
      </c>
      <c r="I5" s="5">
        <f>H5/(J5)*100</f>
        <v>32.608695652173914</v>
      </c>
      <c r="J5" s="5">
        <f>COUNTA(B2:B47)</f>
        <v>46</v>
      </c>
    </row>
    <row r="6" spans="1:20" ht="46.5" customHeight="1">
      <c r="A6" s="2" t="s">
        <v>7</v>
      </c>
      <c r="B6" s="8" t="s">
        <v>62</v>
      </c>
      <c r="C6" s="2" t="s">
        <v>27</v>
      </c>
      <c r="D6" s="2" t="s">
        <v>27</v>
      </c>
      <c r="E6" s="3" t="s">
        <v>28</v>
      </c>
      <c r="G6" s="7" t="s">
        <v>30</v>
      </c>
      <c r="H6" s="5">
        <f>COUNTIF(D2:D47, "Sí")</f>
        <v>2</v>
      </c>
      <c r="I6" s="5">
        <f>H6/(J6)*100</f>
        <v>4.3478260869565215</v>
      </c>
      <c r="J6" s="5">
        <f>COUNTA(B2:B47)</f>
        <v>46</v>
      </c>
      <c r="R6" s="13"/>
      <c r="S6" s="13"/>
      <c r="T6" s="13"/>
    </row>
    <row r="7" spans="1:20" ht="31.5" customHeight="1">
      <c r="A7" s="2" t="s">
        <v>8</v>
      </c>
      <c r="B7" s="8" t="s">
        <v>64</v>
      </c>
      <c r="C7" s="2" t="s">
        <v>27</v>
      </c>
      <c r="D7" s="2" t="s">
        <v>27</v>
      </c>
      <c r="E7" s="3" t="s">
        <v>28</v>
      </c>
      <c r="R7" s="13"/>
      <c r="S7" s="13"/>
      <c r="T7" s="13"/>
    </row>
    <row r="8" spans="1:20" ht="31.5" customHeight="1">
      <c r="A8" s="2" t="s">
        <v>9</v>
      </c>
      <c r="B8" s="8" t="s">
        <v>63</v>
      </c>
      <c r="C8" s="2" t="s">
        <v>27</v>
      </c>
      <c r="D8" s="2" t="s">
        <v>27</v>
      </c>
      <c r="E8" s="3" t="s">
        <v>28</v>
      </c>
      <c r="R8" s="13"/>
      <c r="S8" s="13"/>
      <c r="T8" s="13"/>
    </row>
    <row r="9" spans="1:20" ht="45.75" customHeight="1">
      <c r="A9" s="2" t="s">
        <v>10</v>
      </c>
      <c r="B9" s="9" t="s">
        <v>75</v>
      </c>
      <c r="C9" s="2" t="s">
        <v>26</v>
      </c>
      <c r="D9" s="2" t="s">
        <v>27</v>
      </c>
      <c r="E9" s="3" t="s">
        <v>144</v>
      </c>
      <c r="R9" s="13"/>
      <c r="S9" s="13"/>
      <c r="T9" s="13"/>
    </row>
    <row r="10" spans="1:20" ht="31.5" customHeight="1">
      <c r="A10" s="2" t="s">
        <v>11</v>
      </c>
      <c r="B10" s="8" t="s">
        <v>114</v>
      </c>
      <c r="C10" s="2" t="s">
        <v>27</v>
      </c>
      <c r="D10" s="2" t="s">
        <v>27</v>
      </c>
      <c r="E10" s="3" t="s">
        <v>145</v>
      </c>
      <c r="G10" s="23" t="s">
        <v>97</v>
      </c>
      <c r="R10" s="13"/>
      <c r="S10" s="13"/>
      <c r="T10" s="13"/>
    </row>
    <row r="11" spans="1:20" ht="31.5" customHeight="1">
      <c r="A11" s="2" t="s">
        <v>12</v>
      </c>
      <c r="B11" s="8" t="s">
        <v>66</v>
      </c>
      <c r="C11" s="2" t="s">
        <v>27</v>
      </c>
      <c r="D11" s="2" t="s">
        <v>27</v>
      </c>
      <c r="E11" s="3" t="s">
        <v>145</v>
      </c>
      <c r="R11" s="13"/>
      <c r="S11" s="13"/>
      <c r="T11" s="13"/>
    </row>
    <row r="12" spans="1:20" ht="30.75" customHeight="1">
      <c r="A12" s="2" t="s">
        <v>13</v>
      </c>
      <c r="B12" s="8" t="s">
        <v>65</v>
      </c>
      <c r="C12" s="2" t="s">
        <v>27</v>
      </c>
      <c r="D12" s="2" t="s">
        <v>27</v>
      </c>
      <c r="E12" s="3" t="s">
        <v>142</v>
      </c>
    </row>
    <row r="13" spans="1:20" ht="47.25" customHeight="1">
      <c r="A13" s="2" t="s">
        <v>14</v>
      </c>
      <c r="B13" s="9" t="s">
        <v>76</v>
      </c>
      <c r="C13" s="2" t="s">
        <v>26</v>
      </c>
      <c r="D13" s="2" t="s">
        <v>27</v>
      </c>
      <c r="E13" s="3" t="s">
        <v>146</v>
      </c>
    </row>
    <row r="14" spans="1:20" ht="30.75" customHeight="1">
      <c r="A14" s="2" t="s">
        <v>15</v>
      </c>
      <c r="B14" s="8" t="s">
        <v>77</v>
      </c>
      <c r="C14" s="2" t="s">
        <v>27</v>
      </c>
      <c r="D14" s="2" t="s">
        <v>27</v>
      </c>
      <c r="E14" s="3" t="s">
        <v>145</v>
      </c>
      <c r="H14" s="13"/>
      <c r="I14" s="13"/>
      <c r="Q14" s="4"/>
    </row>
    <row r="15" spans="1:20" s="18" customFormat="1" ht="30.75" customHeight="1">
      <c r="A15" s="15" t="s">
        <v>16</v>
      </c>
      <c r="B15" s="16" t="s">
        <v>128</v>
      </c>
      <c r="C15" s="15" t="s">
        <v>26</v>
      </c>
      <c r="D15" s="15" t="s">
        <v>27</v>
      </c>
      <c r="E15" s="17" t="s">
        <v>147</v>
      </c>
      <c r="Q15" s="19"/>
    </row>
    <row r="16" spans="1:20" s="18" customFormat="1" ht="30.75" customHeight="1">
      <c r="A16" s="15" t="s">
        <v>17</v>
      </c>
      <c r="B16" s="16" t="s">
        <v>139</v>
      </c>
      <c r="C16" s="15" t="s">
        <v>26</v>
      </c>
      <c r="D16" s="15" t="s">
        <v>27</v>
      </c>
      <c r="E16" s="17" t="s">
        <v>148</v>
      </c>
      <c r="Q16" s="19"/>
    </row>
    <row r="17" spans="1:17" ht="30.75" customHeight="1">
      <c r="A17" s="2" t="s">
        <v>18</v>
      </c>
      <c r="B17" s="9" t="s">
        <v>124</v>
      </c>
      <c r="C17" s="2" t="s">
        <v>27</v>
      </c>
      <c r="D17" s="2" t="s">
        <v>27</v>
      </c>
      <c r="E17" s="3" t="s">
        <v>149</v>
      </c>
      <c r="Q17" s="4"/>
    </row>
    <row r="18" spans="1:17" ht="44.25" customHeight="1">
      <c r="A18" s="2" t="s">
        <v>19</v>
      </c>
      <c r="B18" s="9" t="s">
        <v>118</v>
      </c>
      <c r="C18" s="2" t="s">
        <v>27</v>
      </c>
      <c r="D18" s="2" t="s">
        <v>27</v>
      </c>
      <c r="E18" s="3" t="s">
        <v>150</v>
      </c>
    </row>
    <row r="19" spans="1:17" s="18" customFormat="1" ht="44.25" customHeight="1">
      <c r="A19" s="15" t="s">
        <v>20</v>
      </c>
      <c r="B19" s="20" t="s">
        <v>141</v>
      </c>
      <c r="C19" s="15" t="s">
        <v>26</v>
      </c>
      <c r="D19" s="15" t="s">
        <v>27</v>
      </c>
      <c r="E19" s="17" t="s">
        <v>151</v>
      </c>
    </row>
    <row r="20" spans="1:17" s="18" customFormat="1" ht="30.75" customHeight="1">
      <c r="A20" s="15" t="s">
        <v>21</v>
      </c>
      <c r="B20" s="20" t="s">
        <v>78</v>
      </c>
      <c r="C20" s="15" t="s">
        <v>26</v>
      </c>
      <c r="D20" s="15" t="s">
        <v>27</v>
      </c>
      <c r="E20" s="17" t="s">
        <v>152</v>
      </c>
    </row>
    <row r="21" spans="1:17" ht="30" customHeight="1">
      <c r="A21" s="2" t="s">
        <v>22</v>
      </c>
      <c r="B21" s="8" t="s">
        <v>79</v>
      </c>
      <c r="C21" s="2" t="s">
        <v>26</v>
      </c>
      <c r="D21" s="2" t="s">
        <v>27</v>
      </c>
      <c r="E21" s="3" t="s">
        <v>153</v>
      </c>
    </row>
    <row r="22" spans="1:17" s="18" customFormat="1" ht="59.25" customHeight="1">
      <c r="A22" s="15" t="s">
        <v>23</v>
      </c>
      <c r="B22" s="16" t="s">
        <v>80</v>
      </c>
      <c r="C22" s="15" t="s">
        <v>26</v>
      </c>
      <c r="D22" s="15" t="s">
        <v>26</v>
      </c>
      <c r="E22" s="17" t="s">
        <v>155</v>
      </c>
    </row>
    <row r="23" spans="1:17" s="18" customFormat="1" ht="45.75" customHeight="1">
      <c r="A23" s="15" t="s">
        <v>67</v>
      </c>
      <c r="B23" s="16" t="s">
        <v>81</v>
      </c>
      <c r="C23" s="15" t="s">
        <v>26</v>
      </c>
      <c r="D23" s="15" t="s">
        <v>26</v>
      </c>
      <c r="E23" s="17" t="s">
        <v>154</v>
      </c>
    </row>
    <row r="24" spans="1:17" ht="45.75" customHeight="1">
      <c r="A24" s="2" t="s">
        <v>68</v>
      </c>
      <c r="B24" s="9" t="s">
        <v>82</v>
      </c>
      <c r="C24" s="2" t="s">
        <v>27</v>
      </c>
      <c r="D24" s="2" t="s">
        <v>27</v>
      </c>
      <c r="E24" s="3" t="s">
        <v>156</v>
      </c>
    </row>
    <row r="25" spans="1:17" ht="45.75" customHeight="1">
      <c r="A25" s="2" t="s">
        <v>69</v>
      </c>
      <c r="B25" s="9" t="s">
        <v>83</v>
      </c>
      <c r="C25" s="2" t="s">
        <v>27</v>
      </c>
      <c r="D25" s="2" t="s">
        <v>27</v>
      </c>
      <c r="E25" s="3" t="s">
        <v>157</v>
      </c>
    </row>
    <row r="26" spans="1:17" ht="45.75" customHeight="1">
      <c r="A26" s="2" t="s">
        <v>70</v>
      </c>
      <c r="B26" s="9" t="s">
        <v>125</v>
      </c>
      <c r="C26" s="2" t="s">
        <v>27</v>
      </c>
      <c r="D26" s="2" t="s">
        <v>27</v>
      </c>
      <c r="E26" s="3" t="s">
        <v>158</v>
      </c>
    </row>
    <row r="27" spans="1:17" ht="45.75" customHeight="1">
      <c r="A27" s="2" t="s">
        <v>71</v>
      </c>
      <c r="B27" s="9" t="s">
        <v>126</v>
      </c>
      <c r="C27" s="2" t="s">
        <v>27</v>
      </c>
      <c r="D27" s="2" t="s">
        <v>27</v>
      </c>
      <c r="E27" s="3" t="s">
        <v>159</v>
      </c>
    </row>
    <row r="28" spans="1:17" ht="48.75" customHeight="1">
      <c r="A28" s="2" t="s">
        <v>72</v>
      </c>
      <c r="B28" s="9" t="s">
        <v>93</v>
      </c>
      <c r="C28" s="2" t="s">
        <v>27</v>
      </c>
      <c r="D28" s="2" t="s">
        <v>27</v>
      </c>
      <c r="E28" s="3" t="s">
        <v>160</v>
      </c>
    </row>
    <row r="29" spans="1:17" ht="48.75" customHeight="1">
      <c r="A29" s="2" t="s">
        <v>73</v>
      </c>
      <c r="B29" s="9" t="s">
        <v>99</v>
      </c>
      <c r="C29" s="2" t="s">
        <v>27</v>
      </c>
      <c r="D29" s="2" t="s">
        <v>27</v>
      </c>
      <c r="E29" s="3" t="s">
        <v>161</v>
      </c>
    </row>
    <row r="30" spans="1:17" ht="33" customHeight="1">
      <c r="A30" s="2" t="s">
        <v>74</v>
      </c>
      <c r="B30" s="34" t="s">
        <v>85</v>
      </c>
      <c r="C30" s="24" t="s">
        <v>27</v>
      </c>
      <c r="D30" s="24" t="s">
        <v>27</v>
      </c>
      <c r="E30" s="25" t="s">
        <v>165</v>
      </c>
    </row>
    <row r="31" spans="1:17" ht="48" customHeight="1">
      <c r="A31" s="2" t="s">
        <v>87</v>
      </c>
      <c r="B31" s="9" t="s">
        <v>84</v>
      </c>
      <c r="C31" s="2" t="s">
        <v>27</v>
      </c>
      <c r="D31" s="2" t="s">
        <v>27</v>
      </c>
      <c r="E31" s="3" t="s">
        <v>165</v>
      </c>
    </row>
    <row r="32" spans="1:17" ht="48" customHeight="1">
      <c r="A32" s="2" t="s">
        <v>94</v>
      </c>
      <c r="B32" s="9" t="s">
        <v>86</v>
      </c>
      <c r="C32" s="2" t="s">
        <v>27</v>
      </c>
      <c r="D32" s="2" t="s">
        <v>27</v>
      </c>
      <c r="E32" s="3" t="s">
        <v>166</v>
      </c>
    </row>
    <row r="33" spans="1:5" ht="48" customHeight="1">
      <c r="A33" s="2" t="s">
        <v>95</v>
      </c>
      <c r="B33" s="9" t="s">
        <v>88</v>
      </c>
      <c r="C33" s="2" t="s">
        <v>27</v>
      </c>
      <c r="D33" s="2" t="s">
        <v>27</v>
      </c>
      <c r="E33" s="3" t="s">
        <v>166</v>
      </c>
    </row>
    <row r="34" spans="1:5" ht="46.15" customHeight="1">
      <c r="A34" s="2" t="s">
        <v>96</v>
      </c>
      <c r="B34" s="9" t="s">
        <v>135</v>
      </c>
      <c r="C34" s="2" t="s">
        <v>26</v>
      </c>
      <c r="D34" s="2" t="s">
        <v>27</v>
      </c>
      <c r="E34" s="3" t="s">
        <v>167</v>
      </c>
    </row>
    <row r="35" spans="1:5" ht="31.5" customHeight="1">
      <c r="A35" s="2" t="s">
        <v>101</v>
      </c>
      <c r="B35" s="9" t="s">
        <v>123</v>
      </c>
      <c r="C35" s="2" t="s">
        <v>27</v>
      </c>
      <c r="D35" s="2" t="s">
        <v>27</v>
      </c>
      <c r="E35" s="3" t="s">
        <v>168</v>
      </c>
    </row>
    <row r="36" spans="1:5" ht="32.25" customHeight="1">
      <c r="A36" s="2" t="s">
        <v>103</v>
      </c>
      <c r="B36" s="8" t="s">
        <v>122</v>
      </c>
      <c r="C36" s="2" t="s">
        <v>26</v>
      </c>
      <c r="D36" s="2" t="s">
        <v>27</v>
      </c>
      <c r="E36" s="3" t="s">
        <v>169</v>
      </c>
    </row>
    <row r="37" spans="1:5" ht="32.25" customHeight="1">
      <c r="A37" s="2" t="s">
        <v>105</v>
      </c>
      <c r="B37" s="8" t="s">
        <v>89</v>
      </c>
      <c r="C37" s="2" t="s">
        <v>26</v>
      </c>
      <c r="D37" s="2" t="s">
        <v>27</v>
      </c>
      <c r="E37" s="3" t="s">
        <v>170</v>
      </c>
    </row>
    <row r="38" spans="1:5" ht="32.25" customHeight="1">
      <c r="A38" s="2" t="s">
        <v>107</v>
      </c>
      <c r="B38" s="8" t="s">
        <v>90</v>
      </c>
      <c r="C38" s="2" t="s">
        <v>27</v>
      </c>
      <c r="D38" s="2" t="s">
        <v>27</v>
      </c>
      <c r="E38" s="3" t="s">
        <v>171</v>
      </c>
    </row>
    <row r="39" spans="1:5" ht="30" customHeight="1">
      <c r="A39" s="2" t="s">
        <v>109</v>
      </c>
      <c r="B39" s="8" t="s">
        <v>91</v>
      </c>
      <c r="C39" s="2" t="s">
        <v>27</v>
      </c>
      <c r="D39" s="2" t="s">
        <v>27</v>
      </c>
      <c r="E39" s="3" t="s">
        <v>143</v>
      </c>
    </row>
    <row r="40" spans="1:5" ht="33.75" customHeight="1">
      <c r="A40" s="2" t="s">
        <v>111</v>
      </c>
      <c r="B40" s="8" t="s">
        <v>92</v>
      </c>
      <c r="C40" s="2" t="s">
        <v>27</v>
      </c>
      <c r="D40" s="2" t="s">
        <v>27</v>
      </c>
      <c r="E40" s="3" t="s">
        <v>172</v>
      </c>
    </row>
    <row r="41" spans="1:5" ht="32.25" customHeight="1">
      <c r="A41" s="2" t="s">
        <v>129</v>
      </c>
      <c r="B41" s="9" t="s">
        <v>100</v>
      </c>
      <c r="C41" s="2" t="s">
        <v>27</v>
      </c>
      <c r="D41" s="2" t="s">
        <v>27</v>
      </c>
      <c r="E41" s="3" t="s">
        <v>173</v>
      </c>
    </row>
    <row r="42" spans="1:5" s="18" customFormat="1" ht="30" customHeight="1">
      <c r="A42" s="15" t="s">
        <v>130</v>
      </c>
      <c r="B42" s="16" t="s">
        <v>102</v>
      </c>
      <c r="C42" s="15" t="s">
        <v>26</v>
      </c>
      <c r="D42" s="15" t="s">
        <v>27</v>
      </c>
      <c r="E42" s="17" t="s">
        <v>174</v>
      </c>
    </row>
    <row r="43" spans="1:5" s="18" customFormat="1" ht="29.25" customHeight="1">
      <c r="A43" s="15" t="s">
        <v>131</v>
      </c>
      <c r="B43" s="16" t="s">
        <v>104</v>
      </c>
      <c r="C43" s="15" t="s">
        <v>26</v>
      </c>
      <c r="D43" s="15" t="s">
        <v>27</v>
      </c>
      <c r="E43" s="17" t="s">
        <v>175</v>
      </c>
    </row>
    <row r="44" spans="1:5" s="18" customFormat="1" ht="55.9" customHeight="1">
      <c r="A44" s="15" t="s">
        <v>132</v>
      </c>
      <c r="B44" s="16" t="s">
        <v>106</v>
      </c>
      <c r="C44" s="15" t="s">
        <v>26</v>
      </c>
      <c r="D44" s="15" t="s">
        <v>27</v>
      </c>
      <c r="E44" s="17" t="s">
        <v>187</v>
      </c>
    </row>
    <row r="45" spans="1:5" ht="30" customHeight="1">
      <c r="A45" s="2" t="s">
        <v>133</v>
      </c>
      <c r="B45" s="11" t="s">
        <v>108</v>
      </c>
      <c r="C45" s="2" t="s">
        <v>27</v>
      </c>
      <c r="D45" s="2" t="s">
        <v>27</v>
      </c>
      <c r="E45" s="3" t="s">
        <v>176</v>
      </c>
    </row>
    <row r="46" spans="1:5" ht="30.75" customHeight="1">
      <c r="A46" s="2" t="s">
        <v>134</v>
      </c>
      <c r="B46" s="11" t="s">
        <v>110</v>
      </c>
      <c r="C46" s="2" t="s">
        <v>27</v>
      </c>
      <c r="D46" s="2" t="s">
        <v>27</v>
      </c>
      <c r="E46" s="3" t="s">
        <v>176</v>
      </c>
    </row>
    <row r="47" spans="1:5" ht="30" customHeight="1">
      <c r="A47" s="2" t="s">
        <v>140</v>
      </c>
      <c r="B47" s="11" t="s">
        <v>112</v>
      </c>
      <c r="C47" s="2" t="s">
        <v>27</v>
      </c>
      <c r="D47" s="2" t="s">
        <v>27</v>
      </c>
      <c r="E47" s="3" t="s">
        <v>177</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9033F-9F2D-4A7F-9B68-0077F00C0B9E}">
  <dimension ref="A1:C15"/>
  <sheetViews>
    <sheetView workbookViewId="0">
      <selection activeCell="E3" sqref="E3"/>
    </sheetView>
  </sheetViews>
  <sheetFormatPr baseColWidth="10" defaultRowHeight="15"/>
  <cols>
    <col min="1" max="1" width="24.140625" customWidth="1"/>
    <col min="2" max="2" width="48.28515625" customWidth="1"/>
    <col min="3" max="3" width="60.7109375" customWidth="1"/>
  </cols>
  <sheetData>
    <row r="1" spans="1:3" ht="44.25" customHeight="1">
      <c r="A1" s="22" t="s">
        <v>58</v>
      </c>
      <c r="B1" s="22" t="s">
        <v>97</v>
      </c>
      <c r="C1" s="22" t="s">
        <v>98</v>
      </c>
    </row>
    <row r="2" spans="1:3" ht="79.5" customHeight="1">
      <c r="A2" s="21" t="s">
        <v>16</v>
      </c>
      <c r="B2" s="35" t="s">
        <v>128</v>
      </c>
      <c r="C2" s="17" t="s">
        <v>178</v>
      </c>
    </row>
    <row r="3" spans="1:3" ht="93.75" customHeight="1">
      <c r="A3" s="15" t="s">
        <v>17</v>
      </c>
      <c r="B3" s="17" t="s">
        <v>139</v>
      </c>
      <c r="C3" s="17" t="s">
        <v>179</v>
      </c>
    </row>
    <row r="4" spans="1:3" ht="92.25" customHeight="1">
      <c r="A4" s="15" t="s">
        <v>21</v>
      </c>
      <c r="B4" s="17" t="s">
        <v>78</v>
      </c>
      <c r="C4" s="17" t="s">
        <v>180</v>
      </c>
    </row>
    <row r="5" spans="1:3" ht="90">
      <c r="A5" s="15" t="s">
        <v>23</v>
      </c>
      <c r="B5" s="17" t="s">
        <v>80</v>
      </c>
      <c r="C5" s="17" t="s">
        <v>181</v>
      </c>
    </row>
    <row r="6" spans="1:3" ht="93" customHeight="1">
      <c r="A6" s="15" t="s">
        <v>67</v>
      </c>
      <c r="B6" s="17" t="s">
        <v>81</v>
      </c>
      <c r="C6" s="17" t="s">
        <v>182</v>
      </c>
    </row>
    <row r="7" spans="1:3" ht="75">
      <c r="A7" s="15" t="s">
        <v>130</v>
      </c>
      <c r="B7" s="17" t="s">
        <v>102</v>
      </c>
      <c r="C7" s="17" t="s">
        <v>164</v>
      </c>
    </row>
    <row r="8" spans="1:3" ht="75">
      <c r="A8" s="15" t="s">
        <v>131</v>
      </c>
      <c r="B8" s="17" t="s">
        <v>104</v>
      </c>
      <c r="C8" s="17" t="s">
        <v>183</v>
      </c>
    </row>
    <row r="9" spans="1:3" ht="75">
      <c r="A9" s="15" t="s">
        <v>132</v>
      </c>
      <c r="B9" s="17" t="s">
        <v>106</v>
      </c>
      <c r="C9" s="17" t="s">
        <v>184</v>
      </c>
    </row>
    <row r="10" spans="1:3" ht="80.25" customHeight="1">
      <c r="A10" s="33" t="s">
        <v>20</v>
      </c>
      <c r="B10" s="33" t="s">
        <v>141</v>
      </c>
      <c r="C10" s="33" t="s">
        <v>185</v>
      </c>
    </row>
    <row r="11" spans="1:3" ht="67.900000000000006" customHeight="1">
      <c r="A11" s="15" t="s">
        <v>96</v>
      </c>
      <c r="B11" s="17" t="s">
        <v>135</v>
      </c>
      <c r="C11" s="17" t="s">
        <v>193</v>
      </c>
    </row>
    <row r="12" spans="1:3" ht="72" customHeight="1">
      <c r="A12" s="15" t="s">
        <v>103</v>
      </c>
      <c r="B12" s="17" t="s">
        <v>122</v>
      </c>
      <c r="C12" s="17" t="s">
        <v>194</v>
      </c>
    </row>
    <row r="13" spans="1:3" ht="78.599999999999994" customHeight="1">
      <c r="A13" s="15" t="s">
        <v>105</v>
      </c>
      <c r="B13" s="17" t="s">
        <v>89</v>
      </c>
      <c r="C13" s="17" t="s">
        <v>195</v>
      </c>
    </row>
    <row r="14" spans="1:3" ht="72" customHeight="1">
      <c r="A14" s="15" t="s">
        <v>10</v>
      </c>
      <c r="B14" s="17" t="s">
        <v>75</v>
      </c>
      <c r="C14" s="17" t="s">
        <v>196</v>
      </c>
    </row>
    <row r="15" spans="1:3" ht="48" customHeight="1">
      <c r="A15" s="15" t="s">
        <v>14</v>
      </c>
      <c r="B15" s="17" t="s">
        <v>76</v>
      </c>
      <c r="C15" s="17" t="s">
        <v>197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97F74-5559-4D65-9543-87BBC91F0FF0}">
  <dimension ref="A1:E14"/>
  <sheetViews>
    <sheetView workbookViewId="0">
      <selection activeCell="E5" sqref="E5"/>
    </sheetView>
  </sheetViews>
  <sheetFormatPr baseColWidth="10" defaultRowHeight="15"/>
  <cols>
    <col min="1" max="1" width="35" customWidth="1"/>
    <col min="2" max="2" width="52.5703125" customWidth="1"/>
    <col min="5" max="5" width="45" customWidth="1"/>
  </cols>
  <sheetData>
    <row r="1" spans="1:5" ht="34.5" customHeight="1">
      <c r="A1" s="6" t="s">
        <v>32</v>
      </c>
      <c r="B1" s="6" t="s">
        <v>0</v>
      </c>
      <c r="C1" s="6" t="s">
        <v>33</v>
      </c>
      <c r="D1" s="6" t="s">
        <v>34</v>
      </c>
      <c r="E1" s="6" t="s">
        <v>25</v>
      </c>
    </row>
    <row r="2" spans="1:5" ht="79.5" customHeight="1">
      <c r="A2" s="2" t="s">
        <v>31</v>
      </c>
      <c r="B2" s="3" t="s">
        <v>35</v>
      </c>
      <c r="C2" s="10" t="s">
        <v>48</v>
      </c>
      <c r="D2" s="10"/>
      <c r="E2" s="11" t="s">
        <v>188</v>
      </c>
    </row>
    <row r="3" spans="1:5" ht="85.5" customHeight="1">
      <c r="A3" s="2" t="s">
        <v>53</v>
      </c>
      <c r="B3" s="3" t="s">
        <v>36</v>
      </c>
      <c r="C3" s="10" t="s">
        <v>48</v>
      </c>
      <c r="D3" s="29"/>
      <c r="E3" s="11" t="s">
        <v>113</v>
      </c>
    </row>
    <row r="4" spans="1:5" ht="78.75" customHeight="1">
      <c r="A4" s="2" t="s">
        <v>44</v>
      </c>
      <c r="B4" s="3" t="s">
        <v>43</v>
      </c>
      <c r="C4" s="10" t="s">
        <v>48</v>
      </c>
      <c r="D4" s="29"/>
      <c r="E4" s="11" t="s">
        <v>115</v>
      </c>
    </row>
    <row r="5" spans="1:5" ht="80.25" customHeight="1">
      <c r="A5" s="2" t="s">
        <v>52</v>
      </c>
      <c r="B5" s="3" t="s">
        <v>198</v>
      </c>
      <c r="C5" s="10"/>
      <c r="D5" s="10" t="s">
        <v>48</v>
      </c>
      <c r="E5" s="11" t="s">
        <v>116</v>
      </c>
    </row>
    <row r="6" spans="1:5" ht="64.5" customHeight="1">
      <c r="A6" s="2" t="s">
        <v>45</v>
      </c>
      <c r="B6" s="3" t="s">
        <v>42</v>
      </c>
      <c r="C6" s="10"/>
      <c r="D6" s="10" t="s">
        <v>48</v>
      </c>
      <c r="E6" s="11" t="s">
        <v>117</v>
      </c>
    </row>
    <row r="7" spans="1:5" ht="75.75" customHeight="1">
      <c r="A7" s="2" t="s">
        <v>51</v>
      </c>
      <c r="B7" s="3" t="s">
        <v>41</v>
      </c>
      <c r="C7" s="10" t="s">
        <v>48</v>
      </c>
      <c r="D7" s="10"/>
      <c r="E7" s="11" t="s">
        <v>189</v>
      </c>
    </row>
    <row r="8" spans="1:5" ht="78.75" customHeight="1">
      <c r="A8" s="2" t="s">
        <v>49</v>
      </c>
      <c r="B8" s="3" t="s">
        <v>40</v>
      </c>
      <c r="C8" s="10"/>
      <c r="D8" s="10" t="s">
        <v>48</v>
      </c>
      <c r="E8" s="11" t="s">
        <v>119</v>
      </c>
    </row>
    <row r="9" spans="1:5" ht="93" customHeight="1">
      <c r="A9" s="2" t="s">
        <v>46</v>
      </c>
      <c r="B9" s="3" t="s">
        <v>39</v>
      </c>
      <c r="C9" s="10"/>
      <c r="D9" s="10" t="s">
        <v>48</v>
      </c>
      <c r="E9" s="11" t="s">
        <v>120</v>
      </c>
    </row>
    <row r="10" spans="1:5" ht="90" customHeight="1">
      <c r="A10" s="24" t="s">
        <v>55</v>
      </c>
      <c r="B10" s="25" t="s">
        <v>56</v>
      </c>
      <c r="C10" s="30" t="s">
        <v>48</v>
      </c>
      <c r="D10" s="30"/>
      <c r="E10" s="26" t="s">
        <v>121</v>
      </c>
    </row>
    <row r="11" spans="1:5" ht="78.75" customHeight="1">
      <c r="A11" s="2" t="s">
        <v>47</v>
      </c>
      <c r="B11" s="3" t="s">
        <v>38</v>
      </c>
      <c r="C11" s="10" t="s">
        <v>48</v>
      </c>
      <c r="D11" s="10"/>
      <c r="E11" s="11" t="s">
        <v>190</v>
      </c>
    </row>
    <row r="12" spans="1:5" ht="90.75" customHeight="1">
      <c r="A12" s="2" t="s">
        <v>54</v>
      </c>
      <c r="B12" s="3" t="s">
        <v>37</v>
      </c>
      <c r="C12" s="10" t="s">
        <v>48</v>
      </c>
      <c r="D12" s="10"/>
      <c r="E12" s="11" t="s">
        <v>186</v>
      </c>
    </row>
    <row r="13" spans="1:5" ht="90.75" customHeight="1">
      <c r="A13" s="25" t="s">
        <v>50</v>
      </c>
      <c r="B13" s="25" t="s">
        <v>57</v>
      </c>
      <c r="C13" s="30" t="s">
        <v>48</v>
      </c>
      <c r="D13" s="30"/>
      <c r="E13" s="25" t="s">
        <v>191</v>
      </c>
    </row>
    <row r="14" spans="1:5" ht="45">
      <c r="A14" s="27" t="s">
        <v>162</v>
      </c>
      <c r="B14" s="27" t="s">
        <v>163</v>
      </c>
      <c r="C14" s="31" t="s">
        <v>48</v>
      </c>
      <c r="D14" s="32"/>
      <c r="E14" s="28" t="s">
        <v>192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07f9c6ff-a7ff-44aa-a17a-1ab8934260b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6FACE224BCCDC4DA19C358BE20F7BDD" ma:contentTypeVersion="10" ma:contentTypeDescription="Create a new document." ma:contentTypeScope="" ma:versionID="805ba965c420a16fe281b8dbb32767d4">
  <xsd:schema xmlns:xsd="http://www.w3.org/2001/XMLSchema" xmlns:xs="http://www.w3.org/2001/XMLSchema" xmlns:p="http://schemas.microsoft.com/office/2006/metadata/properties" xmlns:ns3="07f9c6ff-a7ff-44aa-a17a-1ab8934260bd" targetNamespace="http://schemas.microsoft.com/office/2006/metadata/properties" ma:root="true" ma:fieldsID="eb44eb538cca69dbf4e5aee569bef2af" ns3:_="">
    <xsd:import namespace="07f9c6ff-a7ff-44aa-a17a-1ab8934260bd"/>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_activity" minOccurs="0"/>
                <xsd:element ref="ns3:MediaServiceDateTaken" minOccurs="0"/>
                <xsd:element ref="ns3:MediaServiceSystemTags" minOccurs="0"/>
                <xsd:element ref="ns3:MediaServiceLocatio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f9c6ff-a7ff-44aa-a17a-1ab8934260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_activity" ma:index="11" nillable="true" ma:displayName="_activity" ma:hidden="true" ma:internalName="_activity">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515AC7-DF7D-4E2B-9408-387DC1059CDC}">
  <ds:schemaRefs>
    <ds:schemaRef ds:uri="http://schemas.microsoft.com/sharepoint/v3/contenttype/forms"/>
  </ds:schemaRefs>
</ds:datastoreItem>
</file>

<file path=customXml/itemProps2.xml><?xml version="1.0" encoding="utf-8"?>
<ds:datastoreItem xmlns:ds="http://schemas.openxmlformats.org/officeDocument/2006/customXml" ds:itemID="{644599C9-70C6-424E-B328-AEAF4AEAB282}">
  <ds:schemaRefs>
    <ds:schemaRef ds:uri="http://purl.org/dc/terms/"/>
    <ds:schemaRef ds:uri="http://purl.org/dc/elements/1.1/"/>
    <ds:schemaRef ds:uri="http://schemas.microsoft.com/office/infopath/2007/PartnerControls"/>
    <ds:schemaRef ds:uri="http://www.w3.org/XML/1998/namespace"/>
    <ds:schemaRef ds:uri="http://schemas.microsoft.com/office/2006/documentManagement/types"/>
    <ds:schemaRef ds:uri="http://purl.org/dc/dcmitype/"/>
    <ds:schemaRef ds:uri="http://schemas.openxmlformats.org/package/2006/metadata/core-properties"/>
    <ds:schemaRef ds:uri="07f9c6ff-a7ff-44aa-a17a-1ab8934260bd"/>
    <ds:schemaRef ds:uri="http://schemas.microsoft.com/office/2006/metadata/properties"/>
  </ds:schemaRefs>
</ds:datastoreItem>
</file>

<file path=customXml/itemProps3.xml><?xml version="1.0" encoding="utf-8"?>
<ds:datastoreItem xmlns:ds="http://schemas.openxmlformats.org/officeDocument/2006/customXml" ds:itemID="{DF1178AC-0AD6-4D29-9E74-54350D0D06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f9c6ff-a7ff-44aa-a17a-1ab8934260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Requisitos Funcionales</vt:lpstr>
      <vt:lpstr>Funcionalidades Críticas</vt:lpstr>
      <vt:lpstr>Atributos de Calidad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Osval Ricardo Arrieta Garcia</dc:creator>
  <cp:lastModifiedBy>Osval Ricardo Arrieta Garcia</cp:lastModifiedBy>
  <dcterms:created xsi:type="dcterms:W3CDTF">2026-08-09T19:25:03Z</dcterms:created>
  <dcterms:modified xsi:type="dcterms:W3CDTF">2026-08-26T15:24:49Z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0x010100D6FACE224BCCDC4DA19C358BE20F7BDD</vt:lpwstr>
  </property>
</Properties>
</file>