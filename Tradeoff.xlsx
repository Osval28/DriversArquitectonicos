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2" activeTab="4" autoFilterDateGrouping="1"/>
  </bookViews>
  <sheets>
    <sheet xmlns:r="http://schemas.openxmlformats.org/officeDocument/2006/relationships" name="Tradeoff" sheetId="1" state="visible" r:id="rId1"/>
    <sheet xmlns:r="http://schemas.openxmlformats.org/officeDocument/2006/relationships" name="Priorización" sheetId="2" state="visible" r:id="rId2"/>
    <sheet xmlns:r="http://schemas.openxmlformats.org/officeDocument/2006/relationships" name="Lluvia de Escenarios" sheetId="3" state="visible" r:id="rId3"/>
    <sheet xmlns:r="http://schemas.openxmlformats.org/officeDocument/2006/relationships" name="Escenarios de Calidad escogidos" sheetId="4" state="visible" r:id="rId4"/>
    <sheet xmlns:r="http://schemas.openxmlformats.org/officeDocument/2006/relationships" name="Escenarios de Calidad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Aptos Narrow"/>
      <family val="2"/>
      <color theme="1"/>
      <sz val="11"/>
      <scheme val="minor"/>
    </font>
    <font>
      <name val="Aptos Narrow"/>
      <charset val="1"/>
      <family val="2"/>
      <color theme="1"/>
      <sz val="11"/>
    </font>
    <font>
      <name val="Arial"/>
      <charset val="1"/>
      <b val="1"/>
      <sz val="11"/>
    </font>
    <font>
      <name val="Arial"/>
      <charset val="1"/>
      <sz val="11"/>
    </font>
    <font>
      <name val="Arial"/>
      <family val="2"/>
      <b val="1"/>
      <color theme="1"/>
      <sz val="12"/>
    </font>
    <font>
      <name val="Arial"/>
      <family val="2"/>
      <sz val="11"/>
    </font>
    <font>
      <name val="Aptos Narrow"/>
      <family val="2"/>
      <color theme="1"/>
      <sz val="12"/>
      <scheme val="minor"/>
    </font>
    <font>
      <name val="Arial"/>
      <family val="2"/>
      <b val="1"/>
      <color rgb="FF1F1F1F"/>
      <sz val="11"/>
    </font>
    <font>
      <name val="Arial"/>
      <family val="2"/>
      <b val="1"/>
      <color theme="1"/>
      <sz val="11"/>
    </font>
    <font>
      <name val="Arial"/>
      <family val="2"/>
      <color rgb="FF1F1F1F"/>
      <sz val="11"/>
    </font>
  </fonts>
  <fills count="31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8B4B4"/>
        <bgColor rgb="FFF7C0DA"/>
      </patternFill>
    </fill>
    <fill>
      <patternFill patternType="solid">
        <fgColor rgb="FFFBD5A5"/>
        <bgColor rgb="FFFAF0A0"/>
      </patternFill>
    </fill>
    <fill>
      <patternFill patternType="solid">
        <fgColor rgb="FFFAF0A0"/>
        <bgColor rgb="FFFBD5A5"/>
      </patternFill>
    </fill>
    <fill>
      <patternFill patternType="solid">
        <fgColor rgb="FFC3EFC7"/>
        <bgColor rgb="FFB4E5A2"/>
      </patternFill>
    </fill>
    <fill>
      <patternFill patternType="solid">
        <fgColor rgb="FFA8E4E6"/>
        <bgColor rgb="FFB4D4F0"/>
      </patternFill>
    </fill>
    <fill>
      <patternFill patternType="solid">
        <fgColor rgb="FFEDB9E8"/>
        <bgColor rgb="FFF7C0DA"/>
      </patternFill>
    </fill>
    <fill>
      <patternFill patternType="solid">
        <fgColor rgb="FFD6E4A8"/>
        <bgColor rgb="FFC3EFC7"/>
      </patternFill>
    </fill>
    <fill>
      <patternFill patternType="solid">
        <fgColor rgb="FFB4D4F0"/>
        <bgColor rgb="FFA8E4E6"/>
      </patternFill>
    </fill>
    <fill>
      <patternFill patternType="solid">
        <fgColor rgb="FFC4BDF2"/>
        <bgColor rgb="FFB4D4F0"/>
      </patternFill>
    </fill>
    <fill>
      <patternFill patternType="solid">
        <fgColor rgb="FFF7C0DA"/>
        <bgColor rgb="FFEDB9E8"/>
      </patternFill>
    </fill>
    <fill>
      <patternFill patternType="solid">
        <fgColor rgb="FFD9CDBF"/>
        <bgColor rgb="FFD9D9D9"/>
      </patternFill>
    </fill>
    <fill>
      <patternFill patternType="solid">
        <fgColor theme="4" tint="0.5999938962981048"/>
        <bgColor rgb="FF333333"/>
      </patternFill>
    </fill>
    <fill>
      <patternFill patternType="solid">
        <fgColor rgb="FFFF0000"/>
        <bgColor rgb="FFFBD5A5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rgb="FFEDB9E8"/>
      </patternFill>
    </fill>
    <fill>
      <patternFill patternType="solid">
        <fgColor rgb="FFFFCCCC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3999755851924192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8" tint="0.399975585192419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8B4B4"/>
        <bgColor indexed="64"/>
      </patternFill>
    </fill>
    <fill>
      <patternFill patternType="solid">
        <fgColor rgb="FFFFFF00"/>
        <bgColor rgb="FFB4E5A2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808080"/>
      </left>
      <right/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</borders>
  <cellStyleXfs count="2">
    <xf numFmtId="0" fontId="0" fillId="0" borderId="0"/>
    <xf numFmtId="0" fontId="1" fillId="0" borderId="0"/>
  </cellStyleXfs>
  <cellXfs count="150">
    <xf numFmtId="0" fontId="0" fillId="0" borderId="0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3" borderId="1" pivotButton="0" quotePrefix="0" xfId="0"/>
    <xf numFmtId="0" fontId="0" fillId="4" borderId="1" pivotButton="0" quotePrefix="0" xfId="0"/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5" borderId="1" pivotButton="0" quotePrefix="0" xfId="0"/>
    <xf numFmtId="0" fontId="0" fillId="6" borderId="1" pivotButton="0" quotePrefix="0" xfId="0"/>
    <xf numFmtId="0" fontId="0" fillId="5" borderId="2" pivotButton="0" quotePrefix="0" xfId="0"/>
    <xf numFmtId="0" fontId="0" fillId="0" borderId="2" pivotButton="0" quotePrefix="0" xfId="0"/>
    <xf numFmtId="10" fontId="0" fillId="0" borderId="1" pivotButton="0" quotePrefix="0" xfId="0"/>
    <xf numFmtId="0" fontId="3" fillId="7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0" fontId="3" fillId="8" borderId="3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3" fillId="11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3" fillId="13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horizontal="center" vertical="center" wrapText="1"/>
    </xf>
    <xf numFmtId="0" fontId="3" fillId="15" borderId="3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3" fillId="17" borderId="3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/>
    </xf>
    <xf numFmtId="0" fontId="4" fillId="18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/>
    </xf>
    <xf numFmtId="0" fontId="5" fillId="19" borderId="3" applyAlignment="1" pivotButton="0" quotePrefix="0" xfId="0">
      <alignment horizontal="center" vertical="center" wrapText="1"/>
    </xf>
    <xf numFmtId="0" fontId="5" fillId="10" borderId="3" applyAlignment="1" pivotButton="0" quotePrefix="0" xfId="0">
      <alignment horizontal="center" vertical="center" wrapText="1"/>
    </xf>
    <xf numFmtId="0" fontId="5" fillId="11" borderId="3" applyAlignment="1" pivotButton="0" quotePrefix="0" xfId="0">
      <alignment horizontal="center" vertical="center" wrapText="1"/>
    </xf>
    <xf numFmtId="0" fontId="5" fillId="12" borderId="3" applyAlignment="1" pivotButton="0" quotePrefix="0" xfId="0">
      <alignment horizontal="center" vertical="center" wrapText="1"/>
    </xf>
    <xf numFmtId="0" fontId="5" fillId="14" borderId="3" applyAlignment="1" pivotButton="0" quotePrefix="0" xfId="0">
      <alignment horizontal="center" vertical="center" wrapText="1"/>
    </xf>
    <xf numFmtId="0" fontId="5" fillId="15" borderId="3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/>
    </xf>
    <xf numFmtId="0" fontId="3" fillId="21" borderId="3" applyAlignment="1" pivotButton="0" quotePrefix="0" xfId="0">
      <alignment horizontal="center" vertical="center"/>
    </xf>
    <xf numFmtId="0" fontId="3" fillId="22" borderId="0" applyAlignment="1" pivotButton="0" quotePrefix="0" xfId="0">
      <alignment vertical="center" wrapText="1"/>
    </xf>
    <xf numFmtId="0" fontId="3" fillId="10" borderId="6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4" borderId="1" applyAlignment="1" pivotButton="0" quotePrefix="0" xfId="0">
      <alignment horizontal="center" vertical="center" wrapText="1"/>
    </xf>
    <xf numFmtId="0" fontId="3" fillId="16" borderId="1" applyAlignment="1" pivotButton="0" quotePrefix="0" xfId="0">
      <alignment horizontal="center" vertical="center" wrapText="1"/>
    </xf>
    <xf numFmtId="0" fontId="7" fillId="20" borderId="8" applyAlignment="1" pivotButton="0" quotePrefix="0" xfId="0">
      <alignment horizontal="center" vertical="center" wrapText="1" readingOrder="1"/>
    </xf>
    <xf numFmtId="0" fontId="7" fillId="20" borderId="9" applyAlignment="1" pivotButton="0" quotePrefix="0" xfId="0">
      <alignment horizontal="center" vertical="center" wrapText="1" readingOrder="1"/>
    </xf>
    <xf numFmtId="0" fontId="8" fillId="20" borderId="9" applyAlignment="1" pivotButton="0" quotePrefix="0" xfId="0">
      <alignment horizontal="center" vertical="center" wrapText="1"/>
    </xf>
    <xf numFmtId="0" fontId="0" fillId="26" borderId="1" applyAlignment="1" pivotButton="0" quotePrefix="0" xfId="0">
      <alignment horizontal="center" vertical="center"/>
    </xf>
    <xf numFmtId="0" fontId="0" fillId="2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28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wrapText="1"/>
    </xf>
    <xf numFmtId="0" fontId="0" fillId="0" borderId="10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/>
    </xf>
    <xf numFmtId="0" fontId="3" fillId="9" borderId="6" applyAlignment="1" pivotButton="0" quotePrefix="0" xfId="0">
      <alignment horizontal="center" vertical="center" wrapText="1"/>
    </xf>
    <xf numFmtId="0" fontId="9" fillId="29" borderId="9" applyAlignment="1" pivotButton="0" quotePrefix="0" xfId="0">
      <alignment horizontal="center" vertical="center" wrapText="1" readingOrder="1"/>
    </xf>
    <xf numFmtId="0" fontId="9" fillId="29" borderId="9" applyAlignment="1" pivotButton="0" quotePrefix="0" xfId="0">
      <alignment horizontal="center" wrapText="1" readingOrder="1"/>
    </xf>
    <xf numFmtId="0" fontId="0" fillId="29" borderId="0" pivotButton="0" quotePrefix="0" xfId="0"/>
    <xf numFmtId="0" fontId="5" fillId="8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5" fillId="7" borderId="7" applyAlignment="1" pivotButton="0" quotePrefix="0" xfId="0">
      <alignment horizontal="center" vertical="center" wrapText="1"/>
    </xf>
    <xf numFmtId="0" fontId="1" fillId="0" borderId="0" pivotButton="0" quotePrefix="0" xfId="1"/>
    <xf numFmtId="0" fontId="0" fillId="4" borderId="0" pivotButton="0" quotePrefix="0" xfId="0"/>
    <xf numFmtId="0" fontId="3" fillId="7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3" fillId="8" borderId="2" applyAlignment="1" pivotButton="0" quotePrefix="0" xfId="0">
      <alignment horizontal="center" vertical="center" wrapText="1"/>
    </xf>
    <xf numFmtId="0" fontId="3" fillId="8" borderId="7" applyAlignment="1" pivotButton="0" quotePrefix="0" xfId="0">
      <alignment horizontal="center" vertical="center" wrapText="1"/>
    </xf>
    <xf numFmtId="0" fontId="0" fillId="0" borderId="15" pivotButton="0" quotePrefix="0" xfId="0"/>
    <xf numFmtId="0" fontId="3" fillId="7" borderId="7" applyAlignment="1" pivotButton="0" quotePrefix="0" xfId="0">
      <alignment horizontal="center" vertical="center" wrapText="1"/>
    </xf>
    <xf numFmtId="0" fontId="3" fillId="30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2" fillId="7" borderId="3" applyAlignment="1" pivotButton="0" quotePrefix="0" xfId="0">
      <alignment horizontal="center" vertical="center" wrapText="1"/>
    </xf>
    <xf numFmtId="0" fontId="3" fillId="7" borderId="3" applyAlignment="1" pivotButton="0" quotePrefix="0" xfId="0">
      <alignment horizontal="center" vertical="center" wrapText="1"/>
    </xf>
    <xf numFmtId="0" fontId="5" fillId="7" borderId="3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3" fillId="8" borderId="3" applyAlignment="1" pivotButton="0" quotePrefix="0" xfId="0">
      <alignment horizontal="center" vertical="center" wrapText="1"/>
    </xf>
    <xf numFmtId="0" fontId="2" fillId="9" borderId="3" applyAlignment="1" pivotButton="0" quotePrefix="0" xfId="0">
      <alignment horizontal="center" vertical="center" wrapText="1"/>
    </xf>
    <xf numFmtId="0" fontId="2" fillId="9" borderId="7" applyAlignment="1" pivotButton="0" quotePrefix="0" xfId="0">
      <alignment horizontal="center" vertical="center" wrapText="1"/>
    </xf>
    <xf numFmtId="0" fontId="3" fillId="9" borderId="3" applyAlignment="1" pivotButton="0" quotePrefix="0" xfId="0">
      <alignment horizontal="center" vertical="center" wrapText="1"/>
    </xf>
    <xf numFmtId="0" fontId="5" fillId="9" borderId="3" applyAlignment="1" pivotButton="0" quotePrefix="0" xfId="0">
      <alignment horizontal="center" vertical="center" wrapText="1"/>
    </xf>
    <xf numFmtId="0" fontId="3" fillId="9" borderId="4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9" borderId="5" applyAlignment="1" pivotButton="0" quotePrefix="0" xfId="0">
      <alignment horizontal="center" vertical="center" wrapText="1"/>
    </xf>
    <xf numFmtId="0" fontId="2" fillId="10" borderId="3" applyAlignment="1" pivotButton="0" quotePrefix="0" xfId="0">
      <alignment horizontal="center" vertical="center" wrapText="1"/>
    </xf>
    <xf numFmtId="0" fontId="2" fillId="10" borderId="7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3" fillId="10" borderId="4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3" applyAlignment="1" pivotButton="0" quotePrefix="0" xfId="0">
      <alignment horizontal="center" vertical="center" wrapText="1"/>
    </xf>
    <xf numFmtId="0" fontId="2" fillId="11" borderId="3" applyAlignment="1" pivotButton="0" quotePrefix="0" xfId="0">
      <alignment horizontal="center" vertical="center" wrapText="1"/>
    </xf>
    <xf numFmtId="0" fontId="2" fillId="12" borderId="3" applyAlignment="1" pivotButton="0" quotePrefix="0" xfId="0">
      <alignment horizontal="center" vertical="center" wrapText="1"/>
    </xf>
    <xf numFmtId="0" fontId="3" fillId="12" borderId="3" applyAlignment="1" pivotButton="0" quotePrefix="0" xfId="0">
      <alignment horizontal="center" vertical="center" wrapText="1"/>
    </xf>
    <xf numFmtId="0" fontId="3" fillId="11" borderId="5" applyAlignment="1" pivotButton="0" quotePrefix="0" xfId="0">
      <alignment horizontal="center" vertical="center" wrapText="1"/>
    </xf>
    <xf numFmtId="0" fontId="2" fillId="13" borderId="3" applyAlignment="1" pivotButton="0" quotePrefix="0" xfId="0">
      <alignment horizontal="center" vertical="center" wrapText="1"/>
    </xf>
    <xf numFmtId="0" fontId="3" fillId="13" borderId="3" applyAlignment="1" pivotButton="0" quotePrefix="0" xfId="0">
      <alignment horizontal="center" vertical="center" wrapText="1"/>
    </xf>
    <xf numFmtId="0" fontId="2" fillId="14" borderId="3" applyAlignment="1" pivotButton="0" quotePrefix="0" xfId="0">
      <alignment horizontal="center" vertical="center" wrapText="1"/>
    </xf>
    <xf numFmtId="0" fontId="3" fillId="14" borderId="3" applyAlignment="1" pivotButton="0" quotePrefix="0" xfId="0">
      <alignment horizontal="center" vertical="center" wrapText="1"/>
    </xf>
    <xf numFmtId="0" fontId="2" fillId="15" borderId="3" applyAlignment="1" pivotButton="0" quotePrefix="0" xfId="0">
      <alignment horizontal="center" vertical="center" wrapText="1"/>
    </xf>
    <xf numFmtId="0" fontId="3" fillId="15" borderId="3" applyAlignment="1" pivotButton="0" quotePrefix="0" xfId="0">
      <alignment horizontal="center" vertical="center" wrapText="1"/>
    </xf>
    <xf numFmtId="0" fontId="2" fillId="16" borderId="3" applyAlignment="1" pivotButton="0" quotePrefix="0" xfId="0">
      <alignment horizontal="center" vertical="center" wrapText="1"/>
    </xf>
    <xf numFmtId="0" fontId="3" fillId="16" borderId="3" applyAlignment="1" pivotButton="0" quotePrefix="0" xfId="0">
      <alignment horizontal="center" vertical="center" wrapText="1"/>
    </xf>
    <xf numFmtId="0" fontId="2" fillId="17" borderId="3" applyAlignment="1" pivotButton="0" quotePrefix="0" xfId="0">
      <alignment horizontal="center" vertical="center" wrapText="1"/>
    </xf>
    <xf numFmtId="0" fontId="3" fillId="17" borderId="3" applyAlignment="1" pivotButton="0" quotePrefix="0" xfId="0">
      <alignment horizontal="center" vertical="center" wrapText="1"/>
    </xf>
    <xf numFmtId="0" fontId="3" fillId="11" borderId="4" applyAlignment="1" pivotButton="0" quotePrefix="0" xfId="0">
      <alignment horizontal="center" vertical="center" wrapText="1"/>
    </xf>
    <xf numFmtId="0" fontId="3" fillId="6" borderId="4" applyAlignment="1" pivotButton="0" quotePrefix="0" xfId="0">
      <alignment horizontal="center" vertical="center"/>
    </xf>
    <xf numFmtId="0" fontId="3" fillId="6" borderId="5" applyAlignment="1" pivotButton="0" quotePrefix="0" xfId="0">
      <alignment horizontal="center" vertical="center"/>
    </xf>
    <xf numFmtId="0" fontId="3" fillId="9" borderId="9" applyAlignment="1" pivotButton="0" quotePrefix="0" xfId="0">
      <alignment horizontal="center" vertical="center" wrapText="1"/>
    </xf>
    <xf numFmtId="0" fontId="3" fillId="9" borderId="14" applyAlignment="1" pivotButton="0" quotePrefix="0" xfId="0">
      <alignment horizontal="center" vertical="center" wrapText="1"/>
    </xf>
    <xf numFmtId="0" fontId="3" fillId="10" borderId="9" applyAlignment="1" pivotButton="0" quotePrefix="0" xfId="0">
      <alignment horizontal="center" vertical="center" wrapText="1"/>
    </xf>
    <xf numFmtId="0" fontId="3" fillId="10" borderId="14" applyAlignment="1" pivotButton="0" quotePrefix="0" xfId="0">
      <alignment horizontal="center" vertical="center" wrapText="1"/>
    </xf>
    <xf numFmtId="0" fontId="5" fillId="10" borderId="9" applyAlignment="1" pivotButton="0" quotePrefix="0" xfId="0">
      <alignment horizontal="center" vertical="center" wrapText="1"/>
    </xf>
    <xf numFmtId="0" fontId="5" fillId="10" borderId="14" applyAlignment="1" pivotButton="0" quotePrefix="0" xfId="0">
      <alignment horizontal="center" vertical="center" wrapText="1"/>
    </xf>
    <xf numFmtId="0" fontId="3" fillId="11" borderId="9" applyAlignment="1" pivotButton="0" quotePrefix="0" xfId="0">
      <alignment horizontal="center" vertical="center" wrapText="1"/>
    </xf>
    <xf numFmtId="0" fontId="3" fillId="11" borderId="10" applyAlignment="1" pivotButton="0" quotePrefix="0" xfId="0">
      <alignment horizontal="center" vertical="center" wrapText="1"/>
    </xf>
    <xf numFmtId="0" fontId="3" fillId="11" borderId="14" applyAlignment="1" pivotButton="0" quotePrefix="0" xfId="0">
      <alignment horizontal="center" vertical="center" wrapText="1"/>
    </xf>
    <xf numFmtId="0" fontId="0" fillId="23" borderId="11" applyAlignment="1" pivotButton="0" quotePrefix="0" xfId="0">
      <alignment horizontal="center" vertical="center"/>
    </xf>
    <xf numFmtId="0" fontId="0" fillId="23" borderId="12" applyAlignment="1" pivotButton="0" quotePrefix="0" xfId="0">
      <alignment horizontal="center" vertical="center"/>
    </xf>
    <xf numFmtId="0" fontId="0" fillId="24" borderId="13" applyAlignment="1" pivotButton="0" quotePrefix="0" xfId="0">
      <alignment horizontal="center" vertical="center"/>
    </xf>
    <xf numFmtId="0" fontId="0" fillId="24" borderId="11" applyAlignment="1" pivotButton="0" quotePrefix="0" xfId="0">
      <alignment horizontal="center" vertical="center"/>
    </xf>
    <xf numFmtId="0" fontId="0" fillId="24" borderId="12" applyAlignment="1" pivotButton="0" quotePrefix="0" xfId="0">
      <alignment horizontal="center" vertical="center"/>
    </xf>
    <xf numFmtId="0" fontId="3" fillId="8" borderId="9" applyAlignment="1" pivotButton="0" quotePrefix="0" xfId="0">
      <alignment horizontal="center" vertical="center" wrapText="1"/>
    </xf>
    <xf numFmtId="0" fontId="3" fillId="8" borderId="14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0" fillId="25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0" fillId="0" borderId="20" pivotButton="0" quotePrefix="0" xfId="0"/>
    <xf numFmtId="0" fontId="0" fillId="0" borderId="5" pivotButton="0" quotePrefix="0" xfId="0"/>
    <xf numFmtId="0" fontId="0" fillId="0" borderId="1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24" borderId="18" applyAlignment="1" pivotButton="0" quotePrefix="0" xfId="0">
      <alignment horizontal="center" vertical="center"/>
    </xf>
    <xf numFmtId="0" fontId="0" fillId="0" borderId="10" pivotButton="0" quotePrefix="0" xfId="0"/>
  </cellXfs>
  <cellStyles count="2">
    <cellStyle name="Normal" xfId="0" builtinId="0"/>
    <cellStyle name="Normal 2" xfId="1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/>
              <a:t>Mapa de Empatía</a:t>
            </a:r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O"/>
        </a:p>
      </txPr>
    </title>
    <plotArea>
      <layout/>
      <radarChart>
        <radarStyle val="marker"/>
        <varyColors val="0"/>
        <ser>
          <idx val="0"/>
          <order val="0"/>
          <tx>
            <strRef>
              <f>Priorización!$B$1</f>
              <strCache>
                <ptCount val="1"/>
                <pt idx="0">
                  <v>Comprador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1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1"/>
              </a:solidFill>
              <a:ln xmlns:a="http://schemas.openxmlformats.org/drawingml/2006/main" w="9525">
                <a:solidFill>
                  <a:schemeClr val="accent1"/>
                </a:solidFill>
                <a:prstDash val="solid"/>
              </a:ln>
            </spPr>
          </marker>
          <cat>
            <strRef>
              <f>Priorización!$A$2:$A$12</f>
              <strCache>
                <ptCount val="11"/>
                <pt idx="0">
                  <v>Seguridad</v>
                </pt>
                <pt idx="1">
                  <v>Confiabilidad</v>
                </pt>
                <pt idx="2">
                  <v>Capacidad para ser auditado</v>
                </pt>
                <pt idx="3">
                  <v>Disponibilidad</v>
                </pt>
                <pt idx="4">
                  <v>Usabilidad UX</v>
                </pt>
                <pt idx="5">
                  <v>Escalabilidad</v>
                </pt>
                <pt idx="6">
                  <v>Accesibilidad</v>
                </pt>
                <pt idx="7">
                  <v>Rendimiento</v>
                </pt>
                <pt idx="8">
                  <v>Interoperabilidad</v>
                </pt>
                <pt idx="9">
                  <v>Capacidad</v>
                </pt>
                <pt idx="10">
                  <v>Portabilidad</v>
                </pt>
              </strCache>
            </strRef>
          </cat>
          <val>
            <numRef>
              <f>Priorización!$B$2:$B$12</f>
              <numCache>
                <formatCode>General</formatCode>
                <ptCount val="11"/>
                <pt idx="0">
                  <v>11</v>
                </pt>
                <pt idx="1">
                  <v>10</v>
                </pt>
                <pt idx="2">
                  <v>6</v>
                </pt>
                <pt idx="3">
                  <v>9</v>
                </pt>
                <pt idx="4">
                  <v>8</v>
                </pt>
                <pt idx="5">
                  <v>2</v>
                </pt>
                <pt idx="6">
                  <v>4</v>
                </pt>
                <pt idx="7">
                  <v>7</v>
                </pt>
                <pt idx="8">
                  <v>5</v>
                </pt>
                <pt idx="9">
                  <v>3</v>
                </pt>
                <pt idx="10">
                  <v>1</v>
                </pt>
              </numCache>
            </numRef>
          </val>
        </ser>
        <ser>
          <idx val="1"/>
          <order val="1"/>
          <tx>
            <strRef>
              <f>Priorización!$C$1</f>
              <strCache>
                <ptCount val="1"/>
                <pt idx="0">
                  <v>Vendedor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2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2"/>
              </a:solidFill>
              <a:ln xmlns:a="http://schemas.openxmlformats.org/drawingml/2006/main" w="9525">
                <a:solidFill>
                  <a:schemeClr val="accent2"/>
                </a:solidFill>
                <a:prstDash val="solid"/>
              </a:ln>
            </spPr>
          </marker>
          <cat>
            <strRef>
              <f>Priorización!$A$2:$A$12</f>
              <strCache>
                <ptCount val="11"/>
                <pt idx="0">
                  <v>Seguridad</v>
                </pt>
                <pt idx="1">
                  <v>Confiabilidad</v>
                </pt>
                <pt idx="2">
                  <v>Capacidad para ser auditado</v>
                </pt>
                <pt idx="3">
                  <v>Disponibilidad</v>
                </pt>
                <pt idx="4">
                  <v>Usabilidad UX</v>
                </pt>
                <pt idx="5">
                  <v>Escalabilidad</v>
                </pt>
                <pt idx="6">
                  <v>Accesibilidad</v>
                </pt>
                <pt idx="7">
                  <v>Rendimiento</v>
                </pt>
                <pt idx="8">
                  <v>Interoperabilidad</v>
                </pt>
                <pt idx="9">
                  <v>Capacidad</v>
                </pt>
                <pt idx="10">
                  <v>Portabilidad</v>
                </pt>
              </strCache>
            </strRef>
          </cat>
          <val>
            <numRef>
              <f>Priorización!$C$2:$C$12</f>
              <numCache>
                <formatCode>General</formatCode>
                <ptCount val="11"/>
                <pt idx="0">
                  <v>11</v>
                </pt>
                <pt idx="1">
                  <v>10</v>
                </pt>
                <pt idx="2">
                  <v>9</v>
                </pt>
                <pt idx="3">
                  <v>8</v>
                </pt>
                <pt idx="4">
                  <v>5</v>
                </pt>
                <pt idx="5">
                  <v>4</v>
                </pt>
                <pt idx="6">
                  <v>2</v>
                </pt>
                <pt idx="7">
                  <v>6</v>
                </pt>
                <pt idx="8">
                  <v>7</v>
                </pt>
                <pt idx="9">
                  <v>3</v>
                </pt>
                <pt idx="10">
                  <v>1</v>
                </pt>
              </numCache>
            </numRef>
          </val>
        </ser>
        <ser>
          <idx val="2"/>
          <order val="2"/>
          <tx>
            <strRef>
              <f>Priorización!$D$1</f>
              <strCache>
                <ptCount val="1"/>
                <pt idx="0">
                  <v>Administrador</v>
                </pt>
              </strCache>
            </strRef>
          </tx>
          <spPr>
            <a:ln xmlns:a="http://schemas.openxmlformats.org/drawingml/2006/main" w="28575" cap="rnd">
              <a:solidFill>
                <a:schemeClr val="accent3"/>
              </a:solidFill>
              <a:prstDash val="solid"/>
              <a:round/>
            </a:ln>
          </spPr>
          <marker>
            <symbol val="circle"/>
            <size val="5"/>
            <spPr>
              <a:solidFill xmlns:a="http://schemas.openxmlformats.org/drawingml/2006/main">
                <a:schemeClr val="accent3"/>
              </a:solidFill>
              <a:ln xmlns:a="http://schemas.openxmlformats.org/drawingml/2006/main" w="9525">
                <a:solidFill>
                  <a:schemeClr val="accent3"/>
                </a:solidFill>
                <a:prstDash val="solid"/>
              </a:ln>
            </spPr>
          </marker>
          <cat>
            <strRef>
              <f>Priorización!$A$2:$A$12</f>
              <strCache>
                <ptCount val="11"/>
                <pt idx="0">
                  <v>Seguridad</v>
                </pt>
                <pt idx="1">
                  <v>Confiabilidad</v>
                </pt>
                <pt idx="2">
                  <v>Capacidad para ser auditado</v>
                </pt>
                <pt idx="3">
                  <v>Disponibilidad</v>
                </pt>
                <pt idx="4">
                  <v>Usabilidad UX</v>
                </pt>
                <pt idx="5">
                  <v>Escalabilidad</v>
                </pt>
                <pt idx="6">
                  <v>Accesibilidad</v>
                </pt>
                <pt idx="7">
                  <v>Rendimiento</v>
                </pt>
                <pt idx="8">
                  <v>Interoperabilidad</v>
                </pt>
                <pt idx="9">
                  <v>Capacidad</v>
                </pt>
                <pt idx="10">
                  <v>Portabilidad</v>
                </pt>
              </strCache>
            </strRef>
          </cat>
          <val>
            <numRef>
              <f>Priorización!$D$2:$D$12</f>
              <numCache>
                <formatCode>General</formatCode>
                <ptCount val="11"/>
                <pt idx="0">
                  <v>10</v>
                </pt>
                <pt idx="1">
                  <v>9</v>
                </pt>
                <pt idx="2">
                  <v>11</v>
                </pt>
                <pt idx="3">
                  <v>7</v>
                </pt>
                <pt idx="4">
                  <v>5</v>
                </pt>
                <pt idx="5">
                  <v>4</v>
                </pt>
                <pt idx="6">
                  <v>2</v>
                </pt>
                <pt idx="7">
                  <v>6</v>
                </pt>
                <pt idx="8">
                  <v>8</v>
                </pt>
                <pt idx="9">
                  <v>3</v>
                </pt>
                <pt idx="10">
                  <v>1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axId val="844979472"/>
        <axId val="432998064"/>
      </radarChart>
      <catAx>
        <axId val="8449794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432998064"/>
        <crosses val="autoZero"/>
        <auto val="1"/>
        <lblAlgn val="ctr"/>
        <lblOffset val="100"/>
        <noMultiLvlLbl val="0"/>
      </catAx>
      <valAx>
        <axId val="432998064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es-CO"/>
          </a:p>
        </txPr>
        <crossAx val="844979472"/>
        <crosses val="autoZero"/>
        <crossBetween val="between"/>
      </valAx>
    </plotArea>
    <legend>
      <legendPos val="t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es-CO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624840</colOff>
      <row>14</row>
      <rowOff>72390</rowOff>
    </from>
    <to>
      <col>7</col>
      <colOff>15240</colOff>
      <row>31</row>
      <rowOff>106680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zoomScale="109" zoomScaleNormal="92" workbookViewId="0">
      <selection activeCell="Q9" sqref="Q9"/>
    </sheetView>
  </sheetViews>
  <sheetFormatPr baseColWidth="10" defaultColWidth="10.77734375" defaultRowHeight="14.4"/>
  <cols>
    <col width="27.77734375" bestFit="1" customWidth="1" min="1" max="1"/>
    <col width="4.44140625" customWidth="1" min="2" max="12"/>
    <col width="14.77734375" customWidth="1" min="14" max="26"/>
  </cols>
  <sheetData>
    <row r="1">
      <c r="A1" s="1" t="n"/>
      <c r="B1" s="80" t="inlineStr">
        <is>
          <t>&lt;&lt;&lt;&lt;+++++Prioridad---------&gt;&gt;&gt;&gt;</t>
        </is>
      </c>
      <c r="C1" s="141" t="n"/>
      <c r="D1" s="141" t="n"/>
      <c r="E1" s="141" t="n"/>
      <c r="F1" s="141" t="n"/>
      <c r="G1" s="141" t="n"/>
      <c r="H1" s="141" t="n"/>
      <c r="I1" s="141" t="n"/>
      <c r="J1" s="141" t="n"/>
      <c r="K1" s="141" t="n"/>
      <c r="L1" s="142" t="n"/>
    </row>
    <row r="2">
      <c r="A2" s="4" t="inlineStr">
        <is>
          <t>Atributo de Calidad</t>
        </is>
      </c>
      <c r="B2" s="3" t="n">
        <v>11</v>
      </c>
      <c r="C2" s="3" t="n">
        <v>10</v>
      </c>
      <c r="D2" s="3" t="n">
        <v>9</v>
      </c>
      <c r="E2" s="3" t="n">
        <v>8</v>
      </c>
      <c r="F2" s="3" t="n">
        <v>7</v>
      </c>
      <c r="G2" s="3" t="n">
        <v>6</v>
      </c>
      <c r="H2" s="3" t="n">
        <v>5</v>
      </c>
      <c r="I2" s="3" t="n">
        <v>4</v>
      </c>
      <c r="J2" s="3" t="n">
        <v>3</v>
      </c>
      <c r="K2" s="3" t="n">
        <v>2</v>
      </c>
      <c r="L2" s="3" t="n">
        <v>1</v>
      </c>
    </row>
    <row r="3">
      <c r="A3" s="3" t="inlineStr">
        <is>
          <t>Seguridad</t>
        </is>
      </c>
      <c r="B3" s="137" t="inlineStr">
        <is>
          <t>X</t>
        </is>
      </c>
      <c r="C3" s="7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</row>
    <row r="4">
      <c r="A4" s="3" t="inlineStr">
        <is>
          <t>Confiabilidad</t>
        </is>
      </c>
      <c r="B4" s="6" t="n"/>
      <c r="C4" s="137" t="inlineStr">
        <is>
          <t>X</t>
        </is>
      </c>
      <c r="D4" s="7" t="n"/>
      <c r="E4" s="6" t="n"/>
      <c r="F4" s="6" t="n"/>
      <c r="G4" s="6" t="n"/>
      <c r="H4" s="6" t="n"/>
      <c r="I4" s="6" t="n"/>
      <c r="J4" s="6" t="n"/>
      <c r="K4" s="6" t="n"/>
      <c r="L4" s="6" t="n"/>
    </row>
    <row r="5">
      <c r="A5" s="3" t="inlineStr">
        <is>
          <t>Capacidad de ser auditado</t>
        </is>
      </c>
      <c r="B5" s="6" t="n"/>
      <c r="C5" s="6" t="n"/>
      <c r="D5" s="137" t="inlineStr">
        <is>
          <t>X</t>
        </is>
      </c>
      <c r="E5" s="7" t="n"/>
      <c r="F5" s="6" t="n"/>
      <c r="G5" s="6" t="n"/>
      <c r="H5" s="6" t="n"/>
      <c r="I5" s="6" t="n"/>
      <c r="J5" s="6" t="n"/>
      <c r="K5" s="6" t="n"/>
      <c r="L5" s="6" t="n"/>
    </row>
    <row r="6">
      <c r="A6" s="3" t="inlineStr">
        <is>
          <t>Disponibilidad</t>
        </is>
      </c>
      <c r="B6" s="6" t="n"/>
      <c r="C6" s="7" t="n"/>
      <c r="D6" s="7" t="n"/>
      <c r="E6" s="137" t="inlineStr">
        <is>
          <t>X</t>
        </is>
      </c>
      <c r="F6" s="6" t="n"/>
      <c r="G6" s="6" t="n"/>
      <c r="H6" s="6" t="n"/>
      <c r="I6" s="6" t="n"/>
      <c r="J6" s="6" t="n"/>
      <c r="K6" s="6" t="n"/>
      <c r="L6" s="6" t="n"/>
    </row>
    <row r="7">
      <c r="A7" s="3" t="inlineStr">
        <is>
          <t>Interoperabilidad</t>
        </is>
      </c>
      <c r="B7" s="6" t="n"/>
      <c r="C7" s="6" t="n"/>
      <c r="D7" s="6" t="n"/>
      <c r="E7" s="6" t="n"/>
      <c r="F7" s="137" t="inlineStr">
        <is>
          <t>X</t>
        </is>
      </c>
      <c r="G7" s="6" t="n"/>
      <c r="H7" s="6" t="n"/>
      <c r="I7" s="6" t="n"/>
      <c r="J7" s="6" t="n"/>
      <c r="K7" s="6" t="n"/>
      <c r="L7" s="6" t="n"/>
    </row>
    <row r="8">
      <c r="A8" s="3" t="inlineStr">
        <is>
          <t>Rendimiento</t>
        </is>
      </c>
      <c r="B8" s="6" t="n"/>
      <c r="C8" s="6" t="n"/>
      <c r="D8" s="6" t="n"/>
      <c r="E8" s="6" t="n"/>
      <c r="F8" s="7" t="n"/>
      <c r="G8" s="137" t="inlineStr">
        <is>
          <t>X</t>
        </is>
      </c>
      <c r="H8" s="6" t="n"/>
      <c r="I8" s="6" t="n"/>
      <c r="K8" s="6" t="n"/>
      <c r="L8" s="6" t="n"/>
    </row>
    <row r="9">
      <c r="A9" s="3" t="inlineStr">
        <is>
          <t>Usabilidad UX</t>
        </is>
      </c>
      <c r="B9" s="6" t="n"/>
      <c r="C9" s="6" t="n"/>
      <c r="D9" s="6" t="n"/>
      <c r="E9" s="6" t="n"/>
      <c r="F9" s="7" t="n"/>
      <c r="H9" s="137" t="inlineStr">
        <is>
          <t>X</t>
        </is>
      </c>
      <c r="I9" s="6" t="n"/>
      <c r="J9" s="6" t="n"/>
      <c r="K9" s="6" t="n"/>
      <c r="L9" s="6" t="n"/>
    </row>
    <row r="10">
      <c r="A10" s="3" t="inlineStr">
        <is>
          <t>Escalabilidad</t>
        </is>
      </c>
      <c r="B10" s="6" t="n"/>
      <c r="C10" s="6" t="n"/>
      <c r="D10" s="6" t="n"/>
      <c r="E10" s="7" t="n"/>
      <c r="F10" s="7" t="n"/>
      <c r="G10" s="6" t="n"/>
      <c r="I10" s="137" t="inlineStr">
        <is>
          <t>X</t>
        </is>
      </c>
      <c r="J10" s="6" t="n"/>
      <c r="K10" s="6" t="n"/>
      <c r="L10" s="6" t="n"/>
    </row>
    <row r="11">
      <c r="A11" s="3" t="inlineStr">
        <is>
          <t xml:space="preserve">Capacidad </t>
        </is>
      </c>
      <c r="B11" s="6" t="n"/>
      <c r="C11" s="6" t="n"/>
      <c r="D11" s="6" t="n"/>
      <c r="E11" s="6" t="n"/>
      <c r="F11" s="7" t="n"/>
      <c r="G11" s="6" t="n"/>
      <c r="H11" s="6" t="n"/>
      <c r="J11" s="137" t="inlineStr">
        <is>
          <t>X</t>
        </is>
      </c>
      <c r="K11" s="6" t="n"/>
      <c r="L11" s="6" t="n"/>
    </row>
    <row r="12">
      <c r="A12" s="3" t="inlineStr">
        <is>
          <t>Accesibilidad</t>
        </is>
      </c>
      <c r="B12" s="1" t="n"/>
      <c r="C12" s="1" t="n"/>
      <c r="D12" s="1" t="n"/>
      <c r="E12" s="1" t="n"/>
      <c r="F12" s="80" t="n"/>
      <c r="G12" s="80" t="n"/>
      <c r="H12" s="80" t="n"/>
      <c r="I12" s="80" t="n"/>
      <c r="J12" s="80" t="n"/>
      <c r="K12" s="5" t="inlineStr">
        <is>
          <t>X</t>
        </is>
      </c>
      <c r="L12" s="80" t="n"/>
    </row>
    <row r="13">
      <c r="A13" s="3" t="inlineStr">
        <is>
          <t>Portabilidad</t>
        </is>
      </c>
      <c r="B13" s="7" t="n"/>
      <c r="C13" s="7" t="n"/>
      <c r="D13" s="6" t="n"/>
      <c r="E13" s="6" t="n"/>
      <c r="F13" s="6" t="n"/>
      <c r="G13" s="6" t="n"/>
      <c r="H13" s="6" t="n"/>
      <c r="I13" s="6" t="n"/>
      <c r="J13" s="6" t="n"/>
      <c r="K13" s="6" t="n"/>
      <c r="L13" s="137" t="inlineStr">
        <is>
          <t>X</t>
        </is>
      </c>
    </row>
    <row r="14">
      <c r="B14" s="9" t="n"/>
      <c r="C14" s="9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</row>
  </sheetData>
  <mergeCells count="1">
    <mergeCell ref="B1:L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zoomScale="111" workbookViewId="0">
      <selection activeCell="A2" sqref="A2:A12"/>
    </sheetView>
  </sheetViews>
  <sheetFormatPr baseColWidth="10" defaultColWidth="9.21875" defaultRowHeight="14.4"/>
  <cols>
    <col width="24.21875" bestFit="1" customWidth="1" min="1" max="1"/>
    <col width="12.21875" bestFit="1" customWidth="1" min="2" max="2"/>
    <col width="8.5546875" bestFit="1" customWidth="1" min="3" max="3"/>
    <col width="12.21875" bestFit="1" customWidth="1" min="4" max="4"/>
    <col width="11.77734375" bestFit="1" customWidth="1" min="5" max="5"/>
    <col width="16.21875" bestFit="1" customWidth="1" min="6" max="6"/>
    <col hidden="1" width="13" customWidth="1" min="7" max="7"/>
  </cols>
  <sheetData>
    <row r="1">
      <c r="A1" t="inlineStr">
        <is>
          <t>Atributo de calidad</t>
        </is>
      </c>
      <c r="B1" s="10" t="inlineStr">
        <is>
          <t>Comprador</t>
        </is>
      </c>
      <c r="C1" s="10" t="inlineStr">
        <is>
          <t>Vendedor</t>
        </is>
      </c>
      <c r="D1" s="12" t="inlineStr">
        <is>
          <t>Administrador</t>
        </is>
      </c>
      <c r="E1" s="10" t="inlineStr">
        <is>
          <t>Total de votos</t>
        </is>
      </c>
      <c r="F1" s="10" t="inlineStr">
        <is>
          <t>Ponderador global</t>
        </is>
      </c>
    </row>
    <row r="2">
      <c r="A2" s="11" t="inlineStr">
        <is>
          <t>Seguridad</t>
        </is>
      </c>
      <c r="B2" s="1" t="n">
        <v>11</v>
      </c>
      <c r="C2" s="1" t="n">
        <v>11</v>
      </c>
      <c r="D2" s="13" t="n">
        <v>10</v>
      </c>
      <c r="E2" s="1">
        <f>SUM(B2:D2)</f>
        <v/>
      </c>
      <c r="F2" s="14">
        <f>_xlfn.PERCENTOF(E2,E2:E12)</f>
        <v/>
      </c>
    </row>
    <row r="3">
      <c r="A3" s="11" t="inlineStr">
        <is>
          <t>Confiabilidad</t>
        </is>
      </c>
      <c r="B3" s="1" t="n">
        <v>10</v>
      </c>
      <c r="C3" s="1" t="n">
        <v>10</v>
      </c>
      <c r="D3" s="13" t="n">
        <v>9</v>
      </c>
      <c r="E3" s="1">
        <f>SUM(B3:D3)</f>
        <v/>
      </c>
      <c r="F3" s="14">
        <f>E3/$E$13</f>
        <v/>
      </c>
    </row>
    <row r="4">
      <c r="A4" s="11" t="inlineStr">
        <is>
          <t>Capacidad de ser auditado</t>
        </is>
      </c>
      <c r="B4" s="1" t="n">
        <v>6</v>
      </c>
      <c r="C4" s="1" t="n">
        <v>9</v>
      </c>
      <c r="D4" s="13" t="n">
        <v>11</v>
      </c>
      <c r="E4" s="1">
        <f>SUM(B4:D4)</f>
        <v/>
      </c>
      <c r="F4" s="14">
        <f>E4/$E$13</f>
        <v/>
      </c>
    </row>
    <row r="5">
      <c r="A5" s="11" t="inlineStr">
        <is>
          <t>Disponibilidad</t>
        </is>
      </c>
      <c r="B5" s="1" t="n">
        <v>9</v>
      </c>
      <c r="C5" s="1" t="n">
        <v>8</v>
      </c>
      <c r="D5" s="13" t="n">
        <v>7</v>
      </c>
      <c r="E5" s="1">
        <f>SUM(B5:D5)</f>
        <v/>
      </c>
      <c r="F5" s="14">
        <f>E5/$E$13</f>
        <v/>
      </c>
    </row>
    <row r="6">
      <c r="A6" s="11" t="inlineStr">
        <is>
          <t>Usabilidad UX</t>
        </is>
      </c>
      <c r="B6" s="1" t="n">
        <v>8</v>
      </c>
      <c r="C6" s="1" t="n">
        <v>5</v>
      </c>
      <c r="D6" s="13" t="n">
        <v>5</v>
      </c>
      <c r="E6" s="1">
        <f>SUM(B6:D6)</f>
        <v/>
      </c>
      <c r="F6" s="14">
        <f>E6/$E$13</f>
        <v/>
      </c>
    </row>
    <row r="7">
      <c r="A7" s="11" t="inlineStr">
        <is>
          <t>Escalabilidad</t>
        </is>
      </c>
      <c r="B7" s="1" t="n">
        <v>2</v>
      </c>
      <c r="C7" s="1" t="n">
        <v>4</v>
      </c>
      <c r="D7" s="13" t="n">
        <v>4</v>
      </c>
      <c r="E7" s="1">
        <f>SUM(B7:D7)</f>
        <v/>
      </c>
      <c r="F7" s="14">
        <f>E7/$E$13</f>
        <v/>
      </c>
      <c r="J7" t="inlineStr">
        <is>
          <t>Cómo se sienten los stakeholders</t>
        </is>
      </c>
    </row>
    <row r="8">
      <c r="A8" s="11" t="inlineStr">
        <is>
          <t>Accesibilidad</t>
        </is>
      </c>
      <c r="B8" s="1" t="n">
        <v>4</v>
      </c>
      <c r="C8" s="1" t="n">
        <v>2</v>
      </c>
      <c r="D8" s="13" t="n">
        <v>2</v>
      </c>
      <c r="E8" s="1">
        <f>SUM(B8:D8)</f>
        <v/>
      </c>
      <c r="F8" s="14">
        <f>E8/$E$13</f>
        <v/>
      </c>
      <c r="J8" t="inlineStr">
        <is>
          <t>Qué ven</t>
        </is>
      </c>
    </row>
    <row r="9">
      <c r="A9" s="11" t="inlineStr">
        <is>
          <t>Rendimiento</t>
        </is>
      </c>
      <c r="B9" s="1" t="n">
        <v>7</v>
      </c>
      <c r="C9" s="1" t="n">
        <v>6</v>
      </c>
      <c r="D9" s="13" t="n">
        <v>6</v>
      </c>
      <c r="E9" s="1">
        <f>SUM(B9:D9)</f>
        <v/>
      </c>
      <c r="F9" s="14">
        <f>E9/$E$13</f>
        <v/>
      </c>
      <c r="J9" t="inlineStr">
        <is>
          <t>que oyen</t>
        </is>
      </c>
    </row>
    <row r="10">
      <c r="A10" s="11" t="inlineStr">
        <is>
          <t>Interoperabilidad</t>
        </is>
      </c>
      <c r="B10" s="1" t="n">
        <v>5</v>
      </c>
      <c r="C10" s="1" t="n">
        <v>7</v>
      </c>
      <c r="D10" s="13" t="n">
        <v>8</v>
      </c>
      <c r="E10" s="1">
        <f>SUM(B10:D10)</f>
        <v/>
      </c>
      <c r="F10" s="14">
        <f>E10/$E$13</f>
        <v/>
      </c>
      <c r="J10" t="inlineStr">
        <is>
          <t>Qué dicen y qué hacen</t>
        </is>
      </c>
    </row>
    <row r="11">
      <c r="A11" s="11" t="inlineStr">
        <is>
          <t>Capacidad</t>
        </is>
      </c>
      <c r="B11" s="1" t="n">
        <v>3</v>
      </c>
      <c r="C11" s="1" t="n">
        <v>3</v>
      </c>
      <c r="D11" s="13" t="n">
        <v>3</v>
      </c>
      <c r="E11" s="1">
        <f>SUM(B11:D11)</f>
        <v/>
      </c>
      <c r="F11" s="14">
        <f>E11/$E$13</f>
        <v/>
      </c>
      <c r="J11" t="inlineStr">
        <is>
          <t>x</t>
        </is>
      </c>
    </row>
    <row r="12">
      <c r="A12" s="11" t="inlineStr">
        <is>
          <t>Portabilidad</t>
        </is>
      </c>
      <c r="B12" s="1" t="n">
        <v>1</v>
      </c>
      <c r="C12" s="1" t="n">
        <v>1</v>
      </c>
      <c r="D12" s="13" t="n">
        <v>1</v>
      </c>
      <c r="E12" s="1">
        <f>SUM(B12:D12)</f>
        <v/>
      </c>
      <c r="F12" s="14">
        <f>E12/$E$13</f>
        <v/>
      </c>
    </row>
    <row r="13">
      <c r="B13" s="1">
        <f>SUM(B2:B12)</f>
        <v/>
      </c>
      <c r="C13" s="1">
        <f>SUM(C2:C12)</f>
        <v/>
      </c>
      <c r="D13" s="1">
        <f>SUM(D2:D12)</f>
        <v/>
      </c>
      <c r="E13" s="1">
        <f>SUM(E2:E12)</f>
        <v/>
      </c>
      <c r="F13" s="14">
        <f>SUM(F2:F12)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2"/>
  <sheetViews>
    <sheetView zoomScale="79" zoomScaleNormal="95" workbookViewId="0">
      <pane ySplit="1" topLeftCell="A82" activePane="bottomLeft" state="frozen"/>
      <selection activeCell="B1" sqref="B1"/>
      <selection pane="bottomLeft" activeCell="J3" sqref="J3"/>
    </sheetView>
  </sheetViews>
  <sheetFormatPr baseColWidth="10" defaultColWidth="10.88671875" defaultRowHeight="14.4"/>
  <cols>
    <col width="25" customWidth="1" style="9" min="1" max="1"/>
    <col width="26.5546875" customWidth="1" style="9" min="2" max="2"/>
    <col width="35.5546875" customWidth="1" style="9" min="3" max="3"/>
    <col width="27.77734375" customWidth="1" style="9" min="4" max="4"/>
    <col width="41.77734375" customWidth="1" style="9" min="5" max="5"/>
    <col width="18.77734375" customWidth="1" style="9" min="6" max="6"/>
    <col width="19.77734375" customWidth="1" style="9" min="7" max="7"/>
    <col width="18.44140625" customWidth="1" style="9" min="8" max="8"/>
    <col width="10.21875" customWidth="1" style="9" min="9" max="9"/>
    <col width="27.77734375" customWidth="1" min="13" max="13"/>
  </cols>
  <sheetData>
    <row r="1" ht="31.2" customHeight="1">
      <c r="A1" s="28" t="inlineStr">
        <is>
          <t>Atributo de calidad</t>
        </is>
      </c>
      <c r="B1" s="28" t="inlineStr">
        <is>
          <t>Codigo caracteristica</t>
        </is>
      </c>
      <c r="C1" s="28" t="inlineStr">
        <is>
          <t>Descripcion de la caracteristica</t>
        </is>
      </c>
      <c r="D1" s="28" t="inlineStr">
        <is>
          <t>Codigo escenario de calidad</t>
        </is>
      </c>
      <c r="E1" s="28" t="inlineStr">
        <is>
          <t>Descripcion escenario de calidad</t>
        </is>
      </c>
      <c r="F1" s="28" t="inlineStr">
        <is>
          <t>Comprador</t>
        </is>
      </c>
      <c r="G1" s="28" t="inlineStr">
        <is>
          <t>Vendedor</t>
        </is>
      </c>
      <c r="H1" s="28" t="inlineStr">
        <is>
          <t>Administrador</t>
        </is>
      </c>
      <c r="I1" s="28" t="inlineStr">
        <is>
          <t>Total</t>
        </is>
      </c>
      <c r="M1" s="58" t="inlineStr">
        <is>
          <t>Dot Voting</t>
        </is>
      </c>
    </row>
    <row r="2" ht="135" customHeight="1">
      <c r="A2" s="81" t="inlineStr">
        <is>
          <t>Seguridad</t>
        </is>
      </c>
      <c r="B2" s="82" t="inlineStr">
        <is>
          <t>CAR-SEG-0001</t>
        </is>
      </c>
      <c r="C2" s="82" t="inlineStr">
        <is>
          <t>El sistema debe gestionar de forma segura las credenciales y el ciclo de vida de las sesiones de sus usuarios</t>
        </is>
      </c>
      <c r="D2" s="82" t="inlineStr">
        <is>
          <t>ESC-CAL-SEG-0001</t>
        </is>
      </c>
      <c r="E2" s="82" t="inlineStr">
        <is>
          <t>Quiero que, al olvidar la contraseña, pueda reestablecerla</t>
        </is>
      </c>
      <c r="F2" s="16" t="n">
        <v>0</v>
      </c>
      <c r="G2" s="16" t="n">
        <v>0</v>
      </c>
      <c r="H2" s="16" t="n">
        <v>0</v>
      </c>
      <c r="I2" s="16">
        <f>SUM(F2:H2)</f>
        <v/>
      </c>
      <c r="M2" s="59" t="inlineStr">
        <is>
          <t>Se asignó un 25% del total de ideas a cada actor, lo que da 24.75 ideas, quedando finalmente 25 puntos a cada actor. Cada actor puede dar un máximo de 2 puntos a una idea que le parezca más importante, siendo 2 puntos un punto de importancia máxima</t>
        </is>
      </c>
    </row>
    <row r="3" ht="122.25" customHeight="1">
      <c r="A3" s="143" t="n"/>
      <c r="B3" s="143" t="n"/>
      <c r="C3" s="143" t="n"/>
      <c r="D3" s="82" t="inlineStr">
        <is>
          <t>ESC-CAL-SEG-0002</t>
        </is>
      </c>
      <c r="E3" s="83" t="inlineStr">
        <is>
          <t>Si un usuario deja su sesión abierta durante un periodo prolongado de inactividad, el sistema debe evitar que otra persona pueda continuar utilizando indefinidamente esa sesión</t>
        </is>
      </c>
      <c r="F3" s="37" t="n">
        <v>1</v>
      </c>
      <c r="G3" s="37" t="n">
        <v>1</v>
      </c>
      <c r="H3" s="37" t="n">
        <v>1</v>
      </c>
      <c r="I3" s="37">
        <f>SUM(F3:H3)</f>
        <v/>
      </c>
      <c r="J3" s="65" t="n"/>
    </row>
    <row r="4" ht="123.75" customHeight="1">
      <c r="A4" s="143" t="n"/>
      <c r="B4" s="144" t="n"/>
      <c r="C4" s="144" t="n"/>
      <c r="D4" s="82" t="inlineStr">
        <is>
          <t>ESC-CAL-SEG-0003</t>
        </is>
      </c>
      <c r="E4" s="82" t="inlineStr">
        <is>
          <t>Cuando un usuario cambie su contraseña, las sesiones que representen un riesgo deben poder invalidarse para evitar accesos con credenciales anteriores</t>
        </is>
      </c>
      <c r="F4" s="16" t="n">
        <v>0</v>
      </c>
      <c r="G4" s="16" t="n">
        <v>0</v>
      </c>
      <c r="H4" s="16" t="n">
        <v>0</v>
      </c>
      <c r="I4" s="16">
        <f>SUM(F4:H4)</f>
        <v/>
      </c>
    </row>
    <row r="5" ht="120" customHeight="1">
      <c r="A5" s="143" t="n"/>
      <c r="B5" s="82" t="inlineStr">
        <is>
          <t>CAR-SEG-0002</t>
        </is>
      </c>
      <c r="C5" s="82" t="inlineStr">
        <is>
          <t>El sistema debe garantizar que cada usuario solo acceda y opere sobre los recursos y operaciones que le corresponden</t>
        </is>
      </c>
      <c r="D5" s="82" t="inlineStr">
        <is>
          <t>ESC-CAL-SEG-0004</t>
        </is>
      </c>
      <c r="E5" s="82" t="inlineStr">
        <is>
          <t>El sistema debe impedir que usuarios no autorizados accedan o modifiquen información y recursos que no les pertenecen</t>
        </is>
      </c>
      <c r="F5" s="37" t="n">
        <v>1</v>
      </c>
      <c r="G5" s="37" t="n">
        <v>1</v>
      </c>
      <c r="H5" s="37" t="n">
        <v>2</v>
      </c>
      <c r="I5" s="37">
        <f>SUM(F5:H5)</f>
        <v/>
      </c>
    </row>
    <row r="6" ht="94.5" customHeight="1">
      <c r="A6" s="143" t="n"/>
      <c r="B6" s="143" t="n"/>
      <c r="C6" s="143" t="n"/>
      <c r="D6" s="82" t="inlineStr">
        <is>
          <t>ESC-CAL-SEG-0005</t>
        </is>
      </c>
      <c r="E6" s="82" t="inlineStr">
        <is>
          <t>Un usuario no puede aceptar, cancelar o confirmar operaciones en las que no participa</t>
        </is>
      </c>
      <c r="F6" s="16" t="n">
        <v>0</v>
      </c>
      <c r="G6" s="16" t="n">
        <v>0</v>
      </c>
      <c r="H6" s="16" t="n">
        <v>0</v>
      </c>
      <c r="I6" s="16">
        <f>SUM(F6:H6)</f>
        <v/>
      </c>
    </row>
    <row r="7" ht="83.25" customHeight="1">
      <c r="A7" s="143" t="n"/>
      <c r="B7" s="144" t="n"/>
      <c r="C7" s="144" t="n"/>
      <c r="D7" s="82" t="inlineStr">
        <is>
          <t>ESC-CAL-SEG-0006</t>
        </is>
      </c>
      <c r="E7" s="82" t="inlineStr">
        <is>
          <t>Un usuario que intente consultar directamente mediante una URL un recurso administrativo sin permisos no debe poder acceder a su información</t>
        </is>
      </c>
      <c r="F7" s="16" t="n">
        <v>0</v>
      </c>
      <c r="G7" s="16" t="n">
        <v>0</v>
      </c>
      <c r="H7" s="16" t="n">
        <v>0</v>
      </c>
      <c r="I7" s="16">
        <f>SUM(F7:H7)</f>
        <v/>
      </c>
    </row>
    <row r="8" ht="93" customHeight="1">
      <c r="A8" s="143" t="n"/>
      <c r="B8" s="82" t="inlineStr">
        <is>
          <t>CAR-SEG-0003</t>
        </is>
      </c>
      <c r="C8" s="83" t="inlineStr">
        <is>
          <t>El sistema debe proteger las operaciones económicas frente a uso indebido, repetición y exposición de información secreta</t>
        </is>
      </c>
      <c r="D8" s="82" t="inlineStr">
        <is>
          <t>ESC-CAL-SEG-0007</t>
        </is>
      </c>
      <c r="E8" s="83" t="inlineStr">
        <is>
          <t>Yo como comprador quiero que mi dinero se retenga en la aplicación hasta confirmar que el encuentro fue exitoso</t>
        </is>
      </c>
      <c r="F8" s="37" t="n">
        <v>1</v>
      </c>
      <c r="G8" s="37" t="n">
        <v>1</v>
      </c>
      <c r="H8" s="37" t="n">
        <v>1</v>
      </c>
      <c r="I8" s="37">
        <f>SUM(F8:H8)</f>
        <v/>
      </c>
    </row>
    <row r="9" ht="93" customHeight="1">
      <c r="A9" s="143" t="n"/>
      <c r="B9" s="143" t="n"/>
      <c r="C9" s="143" t="n"/>
      <c r="D9" s="82" t="inlineStr">
        <is>
          <t>ESC-CAL-SEG-0008</t>
        </is>
      </c>
      <c r="E9" s="82" t="inlineStr">
        <is>
          <t>Las operaciones sensibles deben estar protegidas contra uso indebido, repetición y exposición de información secreta</t>
        </is>
      </c>
      <c r="F9" s="38" t="n">
        <v>0</v>
      </c>
      <c r="G9" s="38" t="n">
        <v>1</v>
      </c>
      <c r="H9" s="38" t="n">
        <v>1</v>
      </c>
      <c r="I9" s="38">
        <f>SUM(F9:H9)</f>
        <v/>
      </c>
    </row>
    <row r="10" ht="91.5" customHeight="1">
      <c r="A10" s="143" t="n"/>
      <c r="B10" s="144" t="n"/>
      <c r="C10" s="144" t="n"/>
      <c r="D10" s="82" t="inlineStr">
        <is>
          <t>ESC-CAL-SEG-0009</t>
        </is>
      </c>
      <c r="E10" s="82" t="inlineStr">
        <is>
          <t>Las operaciones económicas requieren que el usuario se encuentre correctamente autenticado y autorizado</t>
        </is>
      </c>
      <c r="F10" s="16" t="n">
        <v>0</v>
      </c>
      <c r="G10" s="16" t="n">
        <v>0</v>
      </c>
      <c r="H10" s="16" t="n">
        <v>0</v>
      </c>
      <c r="I10" s="16">
        <f>SUM(F10:H10)</f>
        <v/>
      </c>
    </row>
    <row r="11" ht="112.5" customHeight="1">
      <c r="A11" s="144" t="n"/>
      <c r="B11" s="82" t="inlineStr">
        <is>
          <t>CAR-SEG-0004</t>
        </is>
      </c>
      <c r="C11" s="82" t="inlineStr">
        <is>
          <t>El sistema debe validar el contenido cargado por los usuarios antes de incorporarlo a la plataforma</t>
        </is>
      </c>
      <c r="D11" s="82" t="inlineStr">
        <is>
          <t>ESC-CAL-SEG-0010</t>
        </is>
      </c>
      <c r="E11" s="83" t="inlineStr">
        <is>
          <t>Los archivos o imágenes cargados por los usuarios deben validarse para evitar que contenido malicioso sea utilizado para comprometer la plataforma</t>
        </is>
      </c>
      <c r="F11" s="16" t="n">
        <v>0</v>
      </c>
      <c r="G11" s="16" t="n">
        <v>0</v>
      </c>
      <c r="H11" s="16" t="n">
        <v>1</v>
      </c>
      <c r="I11" s="16">
        <f>SUM(F11:H11)</f>
        <v/>
      </c>
    </row>
    <row r="12" ht="105.75" customHeight="1">
      <c r="A12" s="84" t="inlineStr">
        <is>
          <t>Confiabilidad</t>
        </is>
      </c>
      <c r="B12" s="85" t="inlineStr">
        <is>
          <t>CAR-CON-0001</t>
        </is>
      </c>
      <c r="C12" s="85" t="inlineStr">
        <is>
          <t>El sistema debe preservar la integridad de la información crítica del negocio ante fallas e interrupciones</t>
        </is>
      </c>
      <c r="D12" s="85" t="inlineStr">
        <is>
          <t>ESC-CAL-CON-0001</t>
        </is>
      </c>
      <c r="E12" s="85" t="inlineStr">
        <is>
          <t>Quiero que cuando esté haciendo una transacción y el sistema se caiga el estado de esta no se corrompa</t>
        </is>
      </c>
      <c r="F12" s="38" t="n">
        <v>1</v>
      </c>
      <c r="G12" s="38" t="n">
        <v>1</v>
      </c>
      <c r="H12" s="38" t="n">
        <v>0</v>
      </c>
      <c r="I12" s="38">
        <f>SUM(F12:H12)</f>
        <v/>
      </c>
    </row>
    <row r="13" ht="104.25" customHeight="1">
      <c r="A13" s="143" t="n"/>
      <c r="B13" s="143" t="n"/>
      <c r="C13" s="143" t="n"/>
      <c r="D13" s="85" t="inlineStr">
        <is>
          <t>ESC-CAL-CON-0002</t>
        </is>
      </c>
      <c r="E13" s="85" t="inlineStr">
        <is>
          <t>Las fallas temporales no deben provocar pérdida, duplicación o corrupción de información crítica del negocio</t>
        </is>
      </c>
      <c r="F13" s="37" t="n">
        <v>1</v>
      </c>
      <c r="G13" s="37" t="n">
        <v>1</v>
      </c>
      <c r="H13" s="37" t="n">
        <v>0</v>
      </c>
      <c r="I13" s="37">
        <f>SUM(F13:H13)</f>
        <v/>
      </c>
      <c r="J13" s="65" t="n"/>
    </row>
    <row r="14" ht="149.25" customHeight="1">
      <c r="A14" s="143" t="n"/>
      <c r="B14" s="144" t="n"/>
      <c r="C14" s="144" t="n"/>
      <c r="D14" s="85" t="inlineStr">
        <is>
          <t>ESC-CAL-CON-0003</t>
        </is>
      </c>
      <c r="E14" s="85" t="inlineStr">
        <is>
          <t>Si una confirmación de pago llega mientras el usuario pierde conexión, el resultado final de la operación debe conservarse correctamente, aunque el usuario no alcance a visualizarlo en ese instante</t>
        </is>
      </c>
      <c r="F14" s="16" t="n">
        <v>0</v>
      </c>
      <c r="G14" s="16" t="n">
        <v>0</v>
      </c>
      <c r="H14" s="16" t="n">
        <v>0</v>
      </c>
      <c r="I14" s="16">
        <f>SUM(F14:H14)</f>
        <v/>
      </c>
    </row>
    <row r="15" ht="83.25" customHeight="1">
      <c r="A15" s="143" t="n"/>
      <c r="B15" s="85" t="inlineStr">
        <is>
          <t>CAR-CON-0002</t>
        </is>
      </c>
      <c r="C15" s="85" t="inlineStr">
        <is>
          <t>El sistema debe garantizar que una misma operación crítica produzca un único efecto, sin importar cuántas veces se solicite</t>
        </is>
      </c>
      <c r="D15" s="85" t="inlineStr">
        <is>
          <t>ESC-CAL-CON-0004</t>
        </is>
      </c>
      <c r="E15" s="85" t="inlineStr">
        <is>
          <t>El sistema debe conservar estados coherentes y evitar que una misma operación crítica se ejecute más de una vez</t>
        </is>
      </c>
      <c r="F15" s="16" t="n">
        <v>0</v>
      </c>
      <c r="G15" s="16" t="n">
        <v>0</v>
      </c>
      <c r="H15" s="16" t="n">
        <v>1</v>
      </c>
      <c r="I15" s="16">
        <f>SUM(F15:H15)</f>
        <v/>
      </c>
    </row>
    <row r="16" ht="82.5" customHeight="1">
      <c r="A16" s="143" t="n"/>
      <c r="B16" s="143" t="n"/>
      <c r="C16" s="143" t="n"/>
      <c r="D16" s="85" t="inlineStr">
        <is>
          <t>ESC-CAL-CON-0005</t>
        </is>
      </c>
      <c r="E16" s="85" t="inlineStr">
        <is>
          <t>Una notificación de pago recibida dos veces no produce dos efectos económicos</t>
        </is>
      </c>
      <c r="F16" s="38" t="n">
        <v>1</v>
      </c>
      <c r="G16" s="38" t="n">
        <v>1</v>
      </c>
      <c r="H16" s="38" t="n">
        <v>0</v>
      </c>
      <c r="I16" s="38">
        <f>SUM(F16:H16)</f>
        <v/>
      </c>
    </row>
    <row r="17" ht="71.25" customHeight="1">
      <c r="A17" s="143" t="n"/>
      <c r="B17" s="144" t="n"/>
      <c r="C17" s="144" t="n"/>
      <c r="D17" s="85" t="inlineStr">
        <is>
          <t>ESC-CAL-CON-0006</t>
        </is>
      </c>
      <c r="E17" s="85" t="inlineStr">
        <is>
          <t>Si un usuario presiona varias veces el botón de confirmar una operación debido a una conexión lenta, debe producirse un único resultado válido</t>
        </is>
      </c>
      <c r="F17" s="38" t="n">
        <v>1</v>
      </c>
      <c r="G17" s="38" t="n">
        <v>0</v>
      </c>
      <c r="H17" s="38" t="n">
        <v>1</v>
      </c>
      <c r="I17" s="38">
        <f>SUM(F17:H17)</f>
        <v/>
      </c>
    </row>
    <row r="18" ht="87.75" customHeight="1">
      <c r="A18" s="143" t="n"/>
      <c r="B18" s="85" t="inlineStr">
        <is>
          <t>CAR-CON-0003</t>
        </is>
      </c>
      <c r="C18" s="85" t="inlineStr">
        <is>
          <t>El sistema debe mantener la coherencia de la máquina de estados de la negociación frente a eventos concurrentes o tardíos</t>
        </is>
      </c>
      <c r="D18" s="85" t="inlineStr">
        <is>
          <t>ESC-CAL-CON-0007</t>
        </is>
      </c>
      <c r="E18" s="85" t="inlineStr">
        <is>
          <t>Una cancelación válida conserva coherencia entre el estado de la negociación y las operaciones económicas relacionadas</t>
        </is>
      </c>
      <c r="F18" s="16" t="n">
        <v>0</v>
      </c>
      <c r="G18" s="16" t="n">
        <v>0</v>
      </c>
      <c r="H18" s="16" t="n">
        <v>0</v>
      </c>
      <c r="I18" s="16">
        <f>SUM(F18:H18)</f>
        <v/>
      </c>
    </row>
    <row r="19" ht="84.75" customHeight="1">
      <c r="A19" s="143" t="n"/>
      <c r="B19" s="143" t="n"/>
      <c r="C19" s="143" t="n"/>
      <c r="D19" s="85" t="inlineStr">
        <is>
          <t>ESC-CAL-CON-0008</t>
        </is>
      </c>
      <c r="E19" s="85" t="inlineStr">
        <is>
          <t>Si una negociación ya fue cancelada, una respuesta retrasada de otro proceso no debe devolverla accidentalmente a un estado anterior</t>
        </is>
      </c>
      <c r="F19" s="16" t="n">
        <v>0</v>
      </c>
      <c r="G19" s="16" t="n">
        <v>0</v>
      </c>
      <c r="H19" s="16" t="n">
        <v>0</v>
      </c>
      <c r="I19" s="16">
        <f>SUM(F19:H19)</f>
        <v/>
      </c>
    </row>
    <row r="20" ht="101.25" customHeight="1">
      <c r="A20" s="143" t="n"/>
      <c r="B20" s="144" t="n"/>
      <c r="C20" s="144" t="n"/>
      <c r="D20" s="85" t="inlineStr">
        <is>
          <t>ESC-CAL-CON-0009</t>
        </is>
      </c>
      <c r="E20" s="85" t="inlineStr">
        <is>
          <t>Cuando dos usuarios actúan casi simultáneamente sobre una misma negociación, el sistema debe conservar un único estado válido y reconocible</t>
        </is>
      </c>
      <c r="F20" s="16" t="n">
        <v>0</v>
      </c>
      <c r="G20" s="16" t="n">
        <v>0</v>
      </c>
      <c r="H20" s="16" t="n">
        <v>0</v>
      </c>
      <c r="I20" s="16">
        <f>SUM(F20:H20)</f>
        <v/>
      </c>
    </row>
    <row r="21" ht="51" customHeight="1">
      <c r="A21" s="144" t="n"/>
      <c r="B21" s="85" t="inlineStr">
        <is>
          <t>CAR-CON-0004</t>
        </is>
      </c>
      <c r="C21" s="85" t="inlineStr">
        <is>
          <t>El sistema debe detectar la degradación de sus recursos y ejecutar acciones de mitigación antes de que se produzca una interrupción del servicio</t>
        </is>
      </c>
      <c r="D21" s="85" t="inlineStr">
        <is>
          <t>ESC-CAL-CON-0010</t>
        </is>
      </c>
      <c r="E21" s="85" t="inlineStr">
        <is>
          <t>Si la plataforma supera las métricas saludables de funcionamiento y se aproxima la caída del sistema, se deben realizar acciones para mitigar daños mayores</t>
        </is>
      </c>
      <c r="F21" s="16" t="n">
        <v>0</v>
      </c>
      <c r="G21" s="16" t="n">
        <v>1</v>
      </c>
      <c r="H21" s="16" t="n">
        <v>1</v>
      </c>
      <c r="I21" s="16">
        <f>SUM(F21:H21)</f>
        <v/>
      </c>
    </row>
    <row r="22" ht="56.25" customHeight="1">
      <c r="A22" s="86" t="inlineStr">
        <is>
          <t>Capacidad de ser auditado</t>
        </is>
      </c>
      <c r="B22" s="88" t="inlineStr">
        <is>
          <t>CAR-AUD-0001</t>
        </is>
      </c>
      <c r="C22" s="89" t="inlineStr">
        <is>
          <t>El sistema debe registrar quien hizo y el momento de cada acción crítica realizada sobre la plataforma</t>
        </is>
      </c>
      <c r="D22" s="88" t="inlineStr">
        <is>
          <t>ESC-CAL-AUD-0001</t>
        </is>
      </c>
      <c r="E22" s="88" t="inlineStr">
        <is>
          <t>Puede conocerse quién realizó una acción crítica sobre una negociación</t>
        </is>
      </c>
      <c r="F22" s="37" t="n">
        <v>1</v>
      </c>
      <c r="G22" s="37" t="n">
        <v>1</v>
      </c>
      <c r="H22" s="37" t="n">
        <v>1</v>
      </c>
      <c r="I22" s="37">
        <f>SUM(F22:H22)</f>
        <v/>
      </c>
    </row>
    <row r="23" ht="94.5" customHeight="1">
      <c r="A23" s="143" t="n"/>
      <c r="B23" s="143" t="n"/>
      <c r="C23" s="143" t="n"/>
      <c r="D23" s="88" t="inlineStr">
        <is>
          <t>ESC-CAL-AUD-0002</t>
        </is>
      </c>
      <c r="E23" s="88" t="inlineStr">
        <is>
          <t>Puede conocerse cuándo ocurrió cada cambio importante en una operación</t>
        </is>
      </c>
      <c r="F23" s="16" t="n">
        <v>0</v>
      </c>
      <c r="G23" s="16" t="n">
        <v>0</v>
      </c>
      <c r="H23" s="16" t="n">
        <v>0</v>
      </c>
      <c r="I23" s="16">
        <f>SUM(F23:H23)</f>
        <v/>
      </c>
    </row>
    <row r="24" ht="86.25" customHeight="1">
      <c r="A24" s="143" t="n"/>
      <c r="B24" s="144" t="n"/>
      <c r="C24" s="144" t="n"/>
      <c r="D24" s="88" t="inlineStr">
        <is>
          <t>ESC-CAL-AUD-0003</t>
        </is>
      </c>
      <c r="E24" s="88" t="inlineStr">
        <is>
          <t>Cuando un administrador aplique una acción sobre una cuenta o publicación reportada, debe quedar evidencia de quién realizó la acción y sobre qué elemento</t>
        </is>
      </c>
      <c r="F24" s="37" t="n">
        <v>1</v>
      </c>
      <c r="G24" s="37" t="n">
        <v>0</v>
      </c>
      <c r="H24" s="37" t="n">
        <v>2</v>
      </c>
      <c r="I24" s="37">
        <f>SUM(F24:H24)</f>
        <v/>
      </c>
    </row>
    <row r="25" ht="75" customHeight="1">
      <c r="A25" s="143" t="n"/>
      <c r="B25" s="88" t="inlineStr">
        <is>
          <t>CAR-AUD-0002</t>
        </is>
      </c>
      <c r="C25" s="88" t="inlineStr">
        <is>
          <t>El sistema debe conservar registros suficientes para investigar incidentes, protegidos contra alteración y sin almacenar secretos innecesarios</t>
        </is>
      </c>
      <c r="D25" s="88" t="inlineStr">
        <is>
          <t>ESC-CAL-AUD-0004</t>
        </is>
      </c>
      <c r="E25" s="88" t="inlineStr">
        <is>
          <t>Los registros conservan información suficiente para investigar incidentes sin almacenar innecesariamente contraseñas o secretos.</t>
        </is>
      </c>
      <c r="F25" s="38" t="n">
        <v>0</v>
      </c>
      <c r="G25" s="38" t="n">
        <v>1</v>
      </c>
      <c r="H25" s="38" t="n">
        <v>1</v>
      </c>
      <c r="I25" s="38">
        <f>SUM(F25:H25)</f>
        <v/>
      </c>
    </row>
    <row r="26" ht="70.5" customHeight="1">
      <c r="A26" s="143" t="n"/>
      <c r="B26" s="144" t="n"/>
      <c r="C26" s="144" t="n"/>
      <c r="D26" s="88" t="inlineStr">
        <is>
          <t>ESC-CAL-AUD-0005</t>
        </is>
      </c>
      <c r="E26" s="88" t="inlineStr">
        <is>
          <t>Los registros utilizados como evidencia deben protegerse contra modificaciones indebidas y evitar almacenar secretos innecesarios</t>
        </is>
      </c>
      <c r="F26" s="16" t="n">
        <v>0</v>
      </c>
      <c r="G26" s="16" t="n">
        <v>0</v>
      </c>
      <c r="H26" s="16" t="n">
        <v>0</v>
      </c>
      <c r="I26" s="16">
        <f>SUM(F26:H26)</f>
        <v/>
      </c>
    </row>
    <row r="27" ht="84.75" customHeight="1">
      <c r="A27" s="143" t="n"/>
      <c r="B27" s="91" t="inlineStr">
        <is>
          <t>CAR-AUD-0003</t>
        </is>
      </c>
      <c r="C27" s="91" t="inlineStr">
        <is>
          <t>El sistema debe permitir seguir el rastro de las operaciones económicas y vincularlas con la negociación que las originó</t>
        </is>
      </c>
      <c r="D27" s="62" t="inlineStr">
        <is>
          <t>ESC-CAL-AUD-0006</t>
        </is>
      </c>
      <c r="E27" s="88" t="inlineStr">
        <is>
          <t>Puede identificarse el resultado de las operaciones económicas relevantes realizadas por la plataforma</t>
        </is>
      </c>
      <c r="F27" s="61" t="n">
        <v>0</v>
      </c>
      <c r="G27" s="61" t="n">
        <v>0</v>
      </c>
      <c r="H27" s="61" t="n">
        <v>0</v>
      </c>
      <c r="I27" s="61">
        <f>SUM(F27:H27)</f>
        <v/>
      </c>
    </row>
    <row r="28" ht="102" customHeight="1">
      <c r="A28" s="143" t="n"/>
      <c r="B28" s="145" t="n"/>
      <c r="C28" s="145" t="n"/>
      <c r="D28" s="62" t="inlineStr">
        <is>
          <t>ESC-CAL-AUD-0007</t>
        </is>
      </c>
      <c r="E28" s="88" t="inlineStr">
        <is>
          <t>Los cambios relevantes de una operación económica deben poder relacionarse con la negociación que los originó</t>
        </is>
      </c>
      <c r="F28" s="16" t="n">
        <v>0</v>
      </c>
      <c r="G28" s="16" t="n">
        <v>0</v>
      </c>
      <c r="H28" s="16" t="n">
        <v>0</v>
      </c>
      <c r="I28" s="16">
        <f>SUM(F28:H28)</f>
        <v/>
      </c>
    </row>
    <row r="29" ht="104.25" customHeight="1">
      <c r="A29" s="143" t="n"/>
      <c r="B29" s="92" t="inlineStr">
        <is>
          <t>CAR-AUD-0004</t>
        </is>
      </c>
      <c r="C29" s="92" t="inlineStr">
        <is>
          <t>El sistema debe permitir reconstruir cronológicamente lo ocurrido en una operación para atender reclamaciones y diagnosticar fallas</t>
        </is>
      </c>
      <c r="D29" s="88" t="inlineStr">
        <is>
          <t>ESC-CAL-AUD-0008</t>
        </is>
      </c>
      <c r="E29" s="88" t="inlineStr">
        <is>
          <t>Ante una reclamación, un usuario autorizado debe poder consultar cronológicamente los eventos importantes ocurridos durante una negociación</t>
        </is>
      </c>
      <c r="F29" s="37" t="n">
        <v>1</v>
      </c>
      <c r="G29" s="37" t="n">
        <v>1</v>
      </c>
      <c r="H29" s="37" t="n">
        <v>1</v>
      </c>
      <c r="I29" s="37">
        <f>SUM(F29:H29)</f>
        <v/>
      </c>
    </row>
    <row r="30" ht="76.5" customHeight="1">
      <c r="A30" s="144" t="n"/>
      <c r="B30" s="144" t="n"/>
      <c r="C30" s="144" t="n"/>
      <c r="D30" s="88" t="inlineStr">
        <is>
          <t>ESC-CAL-AUD-0009</t>
        </is>
      </c>
      <c r="E30" s="31" t="inlineStr">
        <is>
          <t>Cuando una operación falle, debe ser posible identificar posteriormente en qué etapa ocurrió el problema sin depender únicamente de la descripción del usuario (No entendí)</t>
        </is>
      </c>
      <c r="F30" s="16" t="n">
        <v>0</v>
      </c>
      <c r="G30" s="16" t="n">
        <v>0</v>
      </c>
      <c r="H30" s="16" t="n">
        <v>0</v>
      </c>
      <c r="I30" s="16">
        <f>SUM(F30:H30)</f>
        <v/>
      </c>
    </row>
    <row r="31" ht="116.25" customHeight="1">
      <c r="A31" s="93" t="inlineStr">
        <is>
          <t>Disponibilidad</t>
        </is>
      </c>
      <c r="B31" s="95" t="inlineStr">
        <is>
          <t>CAR-DIS-0001</t>
        </is>
      </c>
      <c r="C31" s="95" t="inlineStr">
        <is>
          <t>El sistema debe seguir prestando sus funciones principales aunque un servicio secundario o externo se encuentre fuera de servicio</t>
        </is>
      </c>
      <c r="D31" s="95" t="inlineStr">
        <is>
          <t>ESC-CAL-DIS-0001</t>
        </is>
      </c>
      <c r="E31" s="95" t="inlineStr">
        <is>
          <t>La plataforma continúa permitiendo consultar publicaciones, aunque temporalmente falle el servicio de pagos</t>
        </is>
      </c>
      <c r="F31" s="16" t="n">
        <v>0</v>
      </c>
      <c r="G31" s="16" t="n">
        <v>0</v>
      </c>
      <c r="H31" s="16" t="n">
        <v>0</v>
      </c>
      <c r="I31" s="16">
        <f>SUM(F31:H31)</f>
        <v/>
      </c>
    </row>
    <row r="32" ht="118.5" customHeight="1">
      <c r="A32" s="143" t="n"/>
      <c r="B32" s="143" t="n"/>
      <c r="C32" s="143" t="n"/>
      <c r="D32" s="95" t="inlineStr">
        <is>
          <t>ESC-CAL-DIS-0002</t>
        </is>
      </c>
      <c r="E32" s="95" t="inlineStr">
        <is>
          <t>Una falla temporal del servicio de correo o notificaciones no debe impedir que compradores y vendedores continúen utilizando las funciones principales del marketplace</t>
        </is>
      </c>
      <c r="F32" s="37" t="n">
        <v>1</v>
      </c>
      <c r="G32" s="37" t="n">
        <v>1</v>
      </c>
      <c r="H32" s="37" t="n">
        <v>1</v>
      </c>
      <c r="I32" s="37">
        <f>SUM(F32:H32)</f>
        <v/>
      </c>
    </row>
    <row r="33" ht="93" customHeight="1">
      <c r="A33" s="143" t="n"/>
      <c r="B33" s="144" t="n"/>
      <c r="C33" s="144" t="n"/>
      <c r="D33" s="95" t="inlineStr">
        <is>
          <t>ESC-CAL-DIS-0003</t>
        </is>
      </c>
      <c r="E33" s="95" t="inlineStr">
        <is>
          <t>Si una funcionalidad secundaria presenta una falla, el usuario debe poder continuar utilizando las demás funciones que no dependan directamente de ella</t>
        </is>
      </c>
      <c r="F33" s="16" t="n">
        <v>0</v>
      </c>
      <c r="G33" s="16" t="n">
        <v>0</v>
      </c>
      <c r="H33" s="16" t="n">
        <v>0</v>
      </c>
      <c r="I33" s="16">
        <f>SUM(F33:H33)</f>
        <v/>
      </c>
    </row>
    <row r="34" ht="121.5" customHeight="1">
      <c r="A34" s="143" t="n"/>
      <c r="B34" s="95" t="inlineStr">
        <is>
          <t>CAR-DIS-0002</t>
        </is>
      </c>
      <c r="C34" s="95" t="inlineStr">
        <is>
          <t>El sistema debe evitar que una falla deje al usuario bloqueado o le haga perder el avance de su negociación</t>
        </is>
      </c>
      <c r="D34" s="95" t="inlineStr">
        <is>
          <t>ESC-CAL-DIS-0004</t>
        </is>
      </c>
      <c r="E34" s="95" t="inlineStr">
        <is>
          <t>Después de una interrupción breve de conexión, el usuario puede continuar una negociación desde el último estado confirmado</t>
        </is>
      </c>
      <c r="F34" s="61" t="n">
        <v>0</v>
      </c>
      <c r="G34" s="61" t="n">
        <v>0</v>
      </c>
      <c r="H34" s="61" t="n">
        <v>0</v>
      </c>
      <c r="I34" s="61">
        <f>SUM(F34:H34)</f>
        <v/>
      </c>
    </row>
    <row r="35" ht="87.75" customHeight="1">
      <c r="A35" s="143" t="n"/>
      <c r="B35" s="144" t="n"/>
      <c r="C35" s="144" t="n"/>
      <c r="D35" s="95" t="inlineStr">
        <is>
          <t>ESC-CAL-DIS-0005</t>
        </is>
      </c>
      <c r="E35" s="32" t="inlineStr">
        <is>
          <t>Si un servicio crítico deja de responder, la plataforma informa la falta de servicio sin dejar al usuario en una pantalla bloqueada indefinidamente</t>
        </is>
      </c>
      <c r="F35" s="37" t="n">
        <v>1</v>
      </c>
      <c r="G35" s="37" t="n">
        <v>1</v>
      </c>
      <c r="H35" s="37" t="n">
        <v>1</v>
      </c>
      <c r="I35" s="37">
        <f>SUM(F35:H35)</f>
        <v/>
      </c>
    </row>
    <row r="36" ht="120.75" customHeight="1">
      <c r="A36" s="143" t="n"/>
      <c r="B36" s="97" t="inlineStr">
        <is>
          <t>CAR-DIS-0003</t>
        </is>
      </c>
      <c r="C36" s="97" t="inlineStr">
        <is>
          <t>El sistema debe poder evolucionar, mantenerse y recuperarse afectando lo menos posible la operación de los usuarios</t>
        </is>
      </c>
      <c r="D36" s="40" t="inlineStr">
        <is>
          <t>ESC-CAL-DIS-0006</t>
        </is>
      </c>
      <c r="E36" s="95" t="inlineStr">
        <is>
          <t>Quiero que el sistema siga funcionando, aunque se metan funcionalidades nuevas cada cierto tiempo</t>
        </is>
      </c>
      <c r="F36" s="37" t="n">
        <v>1</v>
      </c>
      <c r="G36" s="37" t="n">
        <v>1</v>
      </c>
      <c r="H36" s="37" t="n">
        <v>1</v>
      </c>
      <c r="I36" s="37">
        <f>SUM(F36:H36)</f>
        <v/>
      </c>
    </row>
    <row r="37" ht="124.5" customHeight="1">
      <c r="A37" s="144" t="n"/>
      <c r="B37" s="145" t="n"/>
      <c r="C37" s="145" t="n"/>
      <c r="D37" s="40" t="inlineStr">
        <is>
          <t>ESC-CAL-DIS-0007</t>
        </is>
      </c>
      <c r="E37" s="95" t="inlineStr">
        <is>
          <t>Durante mantenimientos planificados, los periodos de indisponibilidad deben reducirse de manera que afecten lo menos posible las operaciones activas en los horarios menos concurridos</t>
        </is>
      </c>
      <c r="F37" s="16" t="n">
        <v>0</v>
      </c>
      <c r="G37" s="16" t="n">
        <v>0</v>
      </c>
      <c r="H37" s="16" t="n">
        <v>0</v>
      </c>
      <c r="I37" s="16">
        <f>SUM(F37:H37)</f>
        <v/>
      </c>
    </row>
    <row r="38" ht="110.25" customHeight="1">
      <c r="A38" s="99" t="inlineStr">
        <is>
          <t>Usabilidad – UX</t>
        </is>
      </c>
      <c r="B38" s="102" t="inlineStr">
        <is>
          <t>CAR-USA-0001</t>
        </is>
      </c>
      <c r="C38" s="102" t="inlineStr">
        <is>
          <t>La interfaz debe emplear un lenguaje y una presentación visual comprensibles para usuarios con distintos niveles de experiencia digital</t>
        </is>
      </c>
      <c r="D38" s="98" t="inlineStr">
        <is>
          <t>ESC-CAL-USA-0001</t>
        </is>
      </c>
      <c r="E38" s="98" t="inlineStr">
        <is>
          <t>Los colores de la interfaz deben facilitarle la búsqueda de opciones al usuario y el tamaño de la letra suficientemente grande para que público de todas las edades acceda cómodamente a la información</t>
        </is>
      </c>
      <c r="F38" s="16" t="n">
        <v>0</v>
      </c>
      <c r="G38" s="16" t="n">
        <v>0</v>
      </c>
      <c r="H38" s="16" t="n">
        <v>0</v>
      </c>
      <c r="I38" s="16">
        <f>SUM(F38:H38)</f>
        <v/>
      </c>
    </row>
    <row r="39" ht="35.25" customHeight="1">
      <c r="A39" s="143" t="n"/>
      <c r="B39" s="143" t="n"/>
      <c r="C39" s="143" t="n"/>
      <c r="D39" s="98" t="inlineStr">
        <is>
          <t>ESC-CAL-USA-0002</t>
        </is>
      </c>
      <c r="E39" s="98" t="inlineStr">
        <is>
          <t>La interfaz debe usar palabras fáciles de entender para los usuarios</t>
        </is>
      </c>
      <c r="F39" s="61" t="n">
        <v>0</v>
      </c>
      <c r="G39" s="61" t="n">
        <v>0</v>
      </c>
      <c r="H39" s="61" t="n">
        <v>0</v>
      </c>
      <c r="I39" s="61">
        <f>SUM(F39:H39)</f>
        <v/>
      </c>
    </row>
    <row r="40" ht="66" customHeight="1">
      <c r="A40" s="143" t="n"/>
      <c r="B40" s="144" t="n"/>
      <c r="C40" s="144" t="n"/>
      <c r="D40" s="98" t="inlineStr">
        <is>
          <t>ESC-CAL-USA-0003</t>
        </is>
      </c>
      <c r="E40" s="98" t="inlineStr">
        <is>
          <t>No se debe saturar la pantalla de información irrelevante que le quite visibilidad a lo verdaderamente útil</t>
        </is>
      </c>
      <c r="F40" s="16" t="n">
        <v>0</v>
      </c>
      <c r="G40" s="16" t="n">
        <v>0</v>
      </c>
      <c r="H40" s="16" t="n">
        <v>1</v>
      </c>
      <c r="I40" s="16">
        <f>SUM(F40:H40)</f>
        <v/>
      </c>
    </row>
    <row r="41" ht="77.25" customHeight="1">
      <c r="A41" s="143" t="n"/>
      <c r="B41" s="98" t="inlineStr">
        <is>
          <t>CAR-USA-0002</t>
        </is>
      </c>
      <c r="C41" s="98" t="inlineStr">
        <is>
          <t>La interfaz debe mantener siempre visible el estado actual de las operaciones del usuario sin exigirle memorizar lo ocurrido</t>
        </is>
      </c>
      <c r="D41" s="98" t="inlineStr">
        <is>
          <t>ESC-CAL-USA-0004</t>
        </is>
      </c>
      <c r="E41" s="98" t="inlineStr">
        <is>
          <t>Cuando un usuario complete correctamente una operación, la interfaz debe indicarle inmediatamente que la acción fue realizada con éxito</t>
        </is>
      </c>
      <c r="F41" s="37" t="n">
        <v>1</v>
      </c>
      <c r="G41" s="37" t="n">
        <v>1</v>
      </c>
      <c r="H41" s="37" t="n">
        <v>1</v>
      </c>
      <c r="I41" s="37">
        <f>SUM(F41:H41)</f>
        <v/>
      </c>
      <c r="J41" s="65" t="n"/>
    </row>
    <row r="42" ht="84" customHeight="1">
      <c r="A42" s="143" t="n"/>
      <c r="B42" s="143" t="n"/>
      <c r="C42" s="143" t="n"/>
      <c r="D42" s="98" t="inlineStr">
        <is>
          <t>ESC-CAL-USA-0005</t>
        </is>
      </c>
      <c r="E42" s="98" t="inlineStr">
        <is>
          <t>El usuario debe poder identificar fácilmente en qué estado se encuentra una negociación sin tener que recordar las acciones realizadas anteriormente</t>
        </is>
      </c>
      <c r="F42" s="38" t="n">
        <v>1</v>
      </c>
      <c r="G42" s="38" t="n">
        <v>1</v>
      </c>
      <c r="H42" s="38" t="n">
        <v>0</v>
      </c>
      <c r="I42" s="38">
        <f>SUM(F42:H42)</f>
        <v/>
      </c>
    </row>
    <row r="43" ht="67.5" customHeight="1">
      <c r="A43" s="143" t="n"/>
      <c r="B43" s="143" t="n"/>
      <c r="C43" s="143" t="n"/>
      <c r="D43" s="98" t="inlineStr">
        <is>
          <t>ESC-CAL-USA-0006</t>
        </is>
      </c>
      <c r="E43" s="98" t="inlineStr">
        <is>
          <t>Al realizar una propuesta de intercambio, debe diferenciarse claramente qué producto entrega cada persona y qué producto recibirá</t>
        </is>
      </c>
      <c r="F43" s="37" t="n">
        <v>1</v>
      </c>
      <c r="G43" s="37" t="n">
        <v>1</v>
      </c>
      <c r="H43" s="37" t="n">
        <v>1</v>
      </c>
      <c r="I43" s="37">
        <f>SUM(F43:H43)</f>
        <v/>
      </c>
    </row>
    <row r="44" ht="93.75" customHeight="1">
      <c r="A44" s="143" t="n"/>
      <c r="B44" s="144" t="n"/>
      <c r="C44" s="144" t="n"/>
      <c r="D44" s="98" t="inlineStr">
        <is>
          <t>ESC-CAL-USA-0007</t>
        </is>
      </c>
      <c r="E44" s="33" t="inlineStr">
        <is>
          <t>Cuando existan filtros de búsqueda activos, el usuario debe poder reconocer cuáles están aplicados sin tener que abrir nuevamente la opción</t>
        </is>
      </c>
      <c r="F44" s="16" t="n">
        <v>1</v>
      </c>
      <c r="G44" s="16" t="n">
        <v>0</v>
      </c>
      <c r="H44" s="16" t="n">
        <v>0</v>
      </c>
      <c r="I44" s="16">
        <f>SUM(F44:H44)</f>
        <v/>
      </c>
    </row>
    <row r="45" ht="78" customHeight="1">
      <c r="A45" s="143" t="n"/>
      <c r="B45" s="98" t="inlineStr">
        <is>
          <t>CAR-USA-0003</t>
        </is>
      </c>
      <c r="C45" s="98" t="inlineStr">
        <is>
          <t>La interfaz debe prevenir errores del usuario y facilitar su recuperación sin pérdida de trabajo</t>
        </is>
      </c>
      <c r="D45" s="98" t="inlineStr">
        <is>
          <t>ESC-CAL-USA-0008</t>
        </is>
      </c>
      <c r="E45" s="33" t="inlineStr">
        <is>
          <t>La interfaz debe prevenir errores y ayudar al usuario a recuperarse con salidas fáciles cuando una acción no pueda completarse o quiera deshacer operaciones sencillas</t>
        </is>
      </c>
      <c r="F45" s="16" t="n">
        <v>0</v>
      </c>
      <c r="G45" s="16" t="n">
        <v>0</v>
      </c>
      <c r="H45" s="16" t="n">
        <v>0</v>
      </c>
      <c r="I45" s="16">
        <f>SUM(F45:H45)</f>
        <v/>
      </c>
    </row>
    <row r="46" ht="62.25" customHeight="1">
      <c r="A46" s="143" t="n"/>
      <c r="B46" s="143" t="n"/>
      <c r="C46" s="143" t="n"/>
      <c r="D46" s="98" t="inlineStr">
        <is>
          <t>ESC-CAL-USA-0009</t>
        </is>
      </c>
      <c r="E46" s="98" t="inlineStr">
        <is>
          <t>Los mensajes de error deben ser suficientemente claros para los usuarios, con descripciones que realmente hagan entender al usuario qué provocó el error</t>
        </is>
      </c>
      <c r="F46" s="37" t="n">
        <v>1</v>
      </c>
      <c r="G46" s="37" t="n">
        <v>1</v>
      </c>
      <c r="H46" s="37" t="n">
        <v>1</v>
      </c>
      <c r="I46" s="37">
        <f>SUM(F46:H46)</f>
        <v/>
      </c>
    </row>
    <row r="47" ht="51.75" customHeight="1">
      <c r="A47" s="143" t="n"/>
      <c r="B47" s="144" t="n"/>
      <c r="C47" s="144" t="n"/>
      <c r="D47" s="144" t="n"/>
      <c r="E47" s="144" t="n"/>
      <c r="F47" s="144" t="n"/>
      <c r="G47" s="144" t="n"/>
      <c r="H47" s="144" t="n"/>
      <c r="I47" s="144" t="n"/>
    </row>
    <row r="48" ht="96" customHeight="1">
      <c r="A48" s="143" t="n"/>
      <c r="B48" s="98" t="inlineStr">
        <is>
          <t>CAR-USA-0004</t>
        </is>
      </c>
      <c r="C48" s="98" t="inlineStr">
        <is>
          <t>La interfaz debe ser consistente entre pantallas y minimizar los recorridos necesarios para las acciones frecuentes</t>
        </is>
      </c>
      <c r="D48" s="98" t="inlineStr">
        <is>
          <t>ESC-CAL-USA-0011</t>
        </is>
      </c>
      <c r="E48" s="33" t="inlineStr">
        <is>
          <t>Las opciones que realizan la misma acción deben conservar nombres, iconos y movimientos coherentes entre las diferentes pantallas</t>
        </is>
      </c>
      <c r="F48" s="16" t="n">
        <v>0</v>
      </c>
      <c r="G48" s="16" t="n">
        <v>0</v>
      </c>
      <c r="H48" s="16" t="n">
        <v>0</v>
      </c>
      <c r="I48" s="16">
        <f>SUM(F48:H48)</f>
        <v/>
      </c>
    </row>
    <row r="49" ht="117.75" customHeight="1">
      <c r="A49" s="143" t="n"/>
      <c r="B49" s="144" t="n"/>
      <c r="C49" s="144" t="n"/>
      <c r="D49" s="98" t="inlineStr">
        <is>
          <t>ESC-CAL-USA-0012</t>
        </is>
      </c>
      <c r="E49" s="98" t="inlineStr">
        <is>
          <t>Las acciones utilizadas frecuentemente deben encontrarse cerca del contexto donde el usuario las necesita, evitando recorridos innecesarios por múltiples pantallas</t>
        </is>
      </c>
      <c r="F49" s="16" t="n">
        <v>0</v>
      </c>
      <c r="G49" s="16" t="n">
        <v>0</v>
      </c>
      <c r="H49" s="16" t="n">
        <v>0</v>
      </c>
      <c r="I49" s="16">
        <f>SUM(F49:H49)</f>
        <v/>
      </c>
    </row>
    <row r="50" ht="117.75" customHeight="1">
      <c r="A50" s="143" t="n"/>
      <c r="B50" s="98" t="inlineStr">
        <is>
          <t>CAR-USA-0005</t>
        </is>
      </c>
      <c r="C50" s="98" t="inlineStr">
        <is>
          <t>El sistema debe acompañar al usuario antes de que tome decisiones importantes y ofrecerle ayuda accesible</t>
        </is>
      </c>
      <c r="D50" s="98" t="inlineStr">
        <is>
          <t>ESC-CAL-USA-0013</t>
        </is>
      </c>
      <c r="E50" s="98" t="inlineStr">
        <is>
          <t>Los flujos principales deben ser comprensibles para usuarios con distintos niveles de experiencia digital y mostrar con claridad qué está ocurriendo</t>
        </is>
      </c>
      <c r="F50" s="38" t="n">
        <v>1</v>
      </c>
      <c r="G50" s="38" t="n">
        <v>1</v>
      </c>
      <c r="H50" s="38" t="n">
        <v>0</v>
      </c>
      <c r="I50" s="38">
        <f>SUM(F50:H50)</f>
        <v/>
      </c>
    </row>
    <row r="51" ht="73.5" customHeight="1">
      <c r="A51" s="143" t="n"/>
      <c r="B51" s="143" t="n"/>
      <c r="C51" s="143" t="n"/>
      <c r="D51" s="98" t="inlineStr">
        <is>
          <t>ESC-CAL-USA-0014</t>
        </is>
      </c>
      <c r="E51" s="98" t="inlineStr">
        <is>
          <t>Quiero que sea fácil para el usuario encontrar guías sobre cómo hacer operaciones en la plataforma</t>
        </is>
      </c>
      <c r="F51" s="16" t="n">
        <v>0</v>
      </c>
      <c r="G51" s="16" t="n">
        <v>0</v>
      </c>
      <c r="H51" s="16" t="n">
        <v>0</v>
      </c>
      <c r="I51" s="16">
        <f>SUM(F51:H51)</f>
        <v/>
      </c>
    </row>
    <row r="52" ht="95.25" customHeight="1">
      <c r="A52" s="144" t="n"/>
      <c r="B52" s="144" t="n"/>
      <c r="C52" s="144" t="n"/>
      <c r="D52" s="98" t="inlineStr">
        <is>
          <t>ESC-CAL-USA-0015</t>
        </is>
      </c>
      <c r="E52" s="98" t="inlineStr">
        <is>
          <t>Antes de confirmar una compra, intercambio o acción importante, el usuario debe comprender claramente qué ocurrirá después de confirmar</t>
        </is>
      </c>
      <c r="F52" s="38" t="n">
        <v>1</v>
      </c>
      <c r="G52" s="38" t="n">
        <v>1</v>
      </c>
      <c r="H52" s="38" t="n">
        <v>0</v>
      </c>
      <c r="I52" s="38">
        <f>SUM(F52:H52)</f>
        <v/>
      </c>
    </row>
    <row r="53" ht="89.25" customHeight="1">
      <c r="A53" s="100" t="inlineStr">
        <is>
          <t>Escalabilidad</t>
        </is>
      </c>
      <c r="B53" s="101" t="inlineStr">
        <is>
          <t>CAR-ESC-0001</t>
        </is>
      </c>
      <c r="C53" s="101" t="inlineStr">
        <is>
          <t>La plataforma debe poder crecer en usuarios y cobertura geográfica sin reconstruir ni duplicar sus funcionalidades centrales</t>
        </is>
      </c>
      <c r="D53" s="101" t="inlineStr">
        <is>
          <t>ESC-CAL-ESC-0001</t>
        </is>
      </c>
      <c r="E53" s="34" t="inlineStr">
        <is>
          <t>Si la cantidad de usuarios activos aumenta varias veces respecto a la etapa inicial, la plataforma debe poder crecer sin necesidad de reconstruir sus funcionalidades principales</t>
        </is>
      </c>
      <c r="F53" s="16" t="n">
        <v>0</v>
      </c>
      <c r="G53" s="16" t="n">
        <v>0</v>
      </c>
      <c r="H53" s="16" t="n">
        <v>0</v>
      </c>
      <c r="I53" s="16">
        <f>SUM(F53:H53)</f>
        <v/>
      </c>
    </row>
    <row r="54" ht="87" customHeight="1">
      <c r="A54" s="143" t="n"/>
      <c r="B54" s="144" t="n"/>
      <c r="C54" s="144" t="n"/>
      <c r="D54" s="101" t="inlineStr">
        <is>
          <t>ESC-CAL-ESC-0002</t>
        </is>
      </c>
      <c r="E54" s="101" t="inlineStr">
        <is>
          <t>La expansión desde el mercado inicial hacia nuevas ciudades o regiones debe poder realizarse sin crear una instalación independiente de DAZMA para cada ubicación</t>
        </is>
      </c>
      <c r="F54" s="16" t="n">
        <v>0</v>
      </c>
      <c r="G54" s="16" t="n">
        <v>0</v>
      </c>
      <c r="H54" s="16" t="n">
        <v>0</v>
      </c>
      <c r="I54" s="16">
        <f>SUM(F54:H54)</f>
        <v/>
      </c>
    </row>
    <row r="55" ht="66" customHeight="1">
      <c r="A55" s="143" t="n"/>
      <c r="B55" s="101" t="inlineStr">
        <is>
          <t>CAR-ESC-0002</t>
        </is>
      </c>
      <c r="C55" s="101" t="inlineStr">
        <is>
          <t>La plataforma debe absorber picos de demanda sin interrumpir el servicio</t>
        </is>
      </c>
      <c r="D55" s="101" t="inlineStr">
        <is>
          <t>ESC-CAL-ESC-0003</t>
        </is>
      </c>
      <c r="E55" s="101" t="inlineStr">
        <is>
          <t>Quiero que si hay mucha gente comprando en un pico específico de tráfico como un Black Friday o navidad la plataforma no se caiga</t>
        </is>
      </c>
      <c r="F55" s="38" t="n">
        <v>0</v>
      </c>
      <c r="G55" s="38" t="n">
        <v>1</v>
      </c>
      <c r="H55" s="38" t="n">
        <v>1</v>
      </c>
      <c r="I55" s="38">
        <f>SUM(F55:H55)</f>
        <v/>
      </c>
    </row>
    <row r="56" ht="79.5" customHeight="1">
      <c r="A56" s="143" t="n"/>
      <c r="B56" s="101" t="inlineStr">
        <is>
          <t>CAR-ESC-0003</t>
        </is>
      </c>
      <c r="C56" s="101" t="inlineStr">
        <is>
          <t>La plataforma debe sostener el crecimiento continuo del volumen de datos históricos sin degradar su capacidad de atender nuevos usuarios</t>
        </is>
      </c>
      <c r="D56" s="101" t="inlineStr">
        <is>
          <t>ESC-CAL-ESC-0004</t>
        </is>
      </c>
      <c r="E56" s="34" t="inlineStr">
        <is>
          <t>El crecimiento continuo del número de publicaciones no debe hacer que la plataforma pierda progresivamente su capacidad para atender nuevos usuarios</t>
        </is>
      </c>
      <c r="F56" s="16" t="n">
        <v>0</v>
      </c>
      <c r="G56" s="16" t="n">
        <v>0</v>
      </c>
      <c r="H56" s="16" t="n">
        <v>0</v>
      </c>
      <c r="I56" s="16">
        <f>SUM(F56:H56)</f>
        <v/>
      </c>
    </row>
    <row r="57" ht="85.5" customHeight="1">
      <c r="A57" s="143" t="n"/>
      <c r="B57" s="144" t="n"/>
      <c r="C57" s="144" t="n"/>
      <c r="D57" s="101" t="inlineStr">
        <is>
          <t>ESC-CAL-ESC-0005</t>
        </is>
      </c>
      <c r="E57" s="101" t="inlineStr">
        <is>
          <t>El incremento del historial de chats y negociaciones a lo largo de los años no debe impedir que DAZMA continúe incorporando nuevos usuarios y operaciones</t>
        </is>
      </c>
      <c r="F57" s="16" t="n">
        <v>0</v>
      </c>
      <c r="G57" s="16" t="n">
        <v>0</v>
      </c>
      <c r="H57" s="16" t="n">
        <v>0</v>
      </c>
      <c r="I57" s="16">
        <f>SUM(F57:H57)</f>
        <v/>
      </c>
    </row>
    <row r="58" ht="102" customHeight="1">
      <c r="A58" s="144" t="n"/>
      <c r="B58" s="101" t="inlineStr">
        <is>
          <t>CAR-ESC-0004</t>
        </is>
      </c>
      <c r="C58" s="101" t="inlineStr">
        <is>
          <t>La plataforma debe seguir entregando la información operativa que el negocio requiere a medida que crece el volumen de operaciones</t>
        </is>
      </c>
      <c r="D58" s="101" t="inlineStr">
        <is>
          <t>ESC-CAL-ESC-0006</t>
        </is>
      </c>
      <c r="E58" s="101" t="inlineStr">
        <is>
          <t>Quiero que en caso de necesitar registros de cualquier operación realizada este se genere en menos de 10s</t>
        </is>
      </c>
      <c r="F58" s="16" t="n">
        <v>0</v>
      </c>
      <c r="G58" s="16" t="n">
        <v>0</v>
      </c>
      <c r="H58" s="16" t="n">
        <v>1</v>
      </c>
      <c r="I58" s="16">
        <f>SUM(F58:H58)</f>
        <v/>
      </c>
    </row>
    <row r="59" ht="67.5" customHeight="1">
      <c r="A59" s="103" t="inlineStr">
        <is>
          <t>Accesibilidad</t>
        </is>
      </c>
      <c r="B59" s="104" t="inlineStr">
        <is>
          <t>CAR-ACC-0001</t>
        </is>
      </c>
      <c r="C59" s="104" t="inlineStr">
        <is>
          <t>La plataforma debe ofrecer soporte de accesibilidad para personas con discapacidades cognitivas, motoras o visuales</t>
        </is>
      </c>
      <c r="D59" s="104" t="inlineStr">
        <is>
          <t>ESC-CAL-ACC-0001</t>
        </is>
      </c>
      <c r="E59" s="104" t="inlineStr">
        <is>
          <t>Quiero que el sistema tenga soporte de accesibilidad para personas con discapacidades cognitivas, motoras o visuales</t>
        </is>
      </c>
      <c r="F59" s="16" t="n">
        <v>0</v>
      </c>
      <c r="G59" s="16" t="n">
        <v>0</v>
      </c>
      <c r="H59" s="16" t="n">
        <v>0</v>
      </c>
      <c r="I59" s="16">
        <f>SUM(F59:H59)</f>
        <v/>
      </c>
    </row>
    <row r="60" ht="49.5" customHeight="1">
      <c r="A60" s="143" t="n"/>
      <c r="B60" s="104" t="inlineStr">
        <is>
          <t>CAR-ACC-0002</t>
        </is>
      </c>
      <c r="C60" s="104" t="inlineStr">
        <is>
          <t>Las funciones principales deben poder operarse sin depender del mouse ni de una precisión motora elevada</t>
        </is>
      </c>
      <c r="D60" s="104" t="inlineStr">
        <is>
          <t>ESC-CAL-ACC-0002</t>
        </is>
      </c>
      <c r="E60" s="104" t="inlineStr">
        <is>
          <t>Todas las acciones principales de DAZMA deben poder realizarse mediante teclado sin depender exclusivamente del mouse</t>
        </is>
      </c>
      <c r="F60" s="16" t="n">
        <v>0</v>
      </c>
      <c r="G60" s="16" t="n">
        <v>0</v>
      </c>
      <c r="H60" s="16" t="n">
        <v>0</v>
      </c>
      <c r="I60" s="16">
        <f>SUM(F60:H60)</f>
        <v/>
      </c>
    </row>
    <row r="61" ht="78.75" customHeight="1">
      <c r="A61" s="143" t="n"/>
      <c r="B61" s="144" t="n"/>
      <c r="C61" s="144" t="n"/>
      <c r="D61" s="104" t="inlineStr">
        <is>
          <t>ESC-CAL-ACC-0003</t>
        </is>
      </c>
      <c r="E61" s="104" t="inlineStr">
        <is>
          <t>Los elementos interactivos deben ser suficientemente distinguibles y utilizables por personas con dificultades motoras que requieren mayor precisión o dispositivos alternativos</t>
        </is>
      </c>
      <c r="F61" s="16" t="n">
        <v>0</v>
      </c>
      <c r="G61" s="16" t="n">
        <v>0</v>
      </c>
      <c r="H61" s="16" t="n">
        <v>0</v>
      </c>
      <c r="I61" s="16">
        <f>SUM(F61:H61)</f>
        <v/>
      </c>
    </row>
    <row r="62" ht="63" customHeight="1">
      <c r="A62" s="143" t="n"/>
      <c r="B62" s="104" t="inlineStr">
        <is>
          <t>CAR-ACC-0003</t>
        </is>
      </c>
      <c r="C62" s="104" t="inlineStr">
        <is>
          <t>La interfaz debe ser interpretable por tecnologías de asistencia como los lectores de pantalla</t>
        </is>
      </c>
      <c r="D62" s="104" t="inlineStr">
        <is>
          <t>ESC-CAL-ACC-0004</t>
        </is>
      </c>
      <c r="E62" s="104" t="inlineStr">
        <is>
          <t>Los campos de formularios deben disponer de etiquetas que puedan ser interpretadas por tecnologías de asistencia</t>
        </is>
      </c>
      <c r="F62" s="16" t="n">
        <v>0</v>
      </c>
      <c r="G62" s="16" t="n">
        <v>0</v>
      </c>
      <c r="H62" s="16" t="n">
        <v>0</v>
      </c>
      <c r="I62" s="16">
        <f>SUM(F62:H62)</f>
        <v/>
      </c>
    </row>
    <row r="63" ht="63" customHeight="1">
      <c r="A63" s="143" t="n"/>
      <c r="B63" s="143" t="n"/>
      <c r="C63" s="143" t="n"/>
      <c r="D63" s="104" t="inlineStr">
        <is>
          <t>ESC-CAL-ACC-0005</t>
        </is>
      </c>
      <c r="E63" s="104" t="inlineStr">
        <is>
          <t>Los botones e imágenes que cumplen una función deben proporcionar información comprensible para usuarios que utilicen lectores de pantalla</t>
        </is>
      </c>
      <c r="F63" s="16" t="n">
        <v>0</v>
      </c>
      <c r="G63" s="16" t="n">
        <v>0</v>
      </c>
      <c r="H63" s="16" t="n">
        <v>0</v>
      </c>
      <c r="I63" s="16">
        <f>SUM(F63:H63)</f>
        <v/>
      </c>
    </row>
    <row r="64" ht="66" customHeight="1">
      <c r="A64" s="143" t="n"/>
      <c r="B64" s="144" t="n"/>
      <c r="C64" s="144" t="n"/>
      <c r="D64" s="104" t="inlineStr">
        <is>
          <t>ESC-CAL-ACC-0006</t>
        </is>
      </c>
      <c r="E64" s="104" t="inlineStr">
        <is>
          <t>Los mensajes de error deben poder ser percibidos por usuarios que dependan de tecnologías de asistencia</t>
        </is>
      </c>
      <c r="F64" s="16" t="n">
        <v>0</v>
      </c>
      <c r="G64" s="16" t="n">
        <v>0</v>
      </c>
      <c r="H64" s="16" t="n">
        <v>0</v>
      </c>
      <c r="I64" s="16">
        <f>SUM(F64:H64)</f>
        <v/>
      </c>
    </row>
    <row r="65" ht="55.5" customHeight="1">
      <c r="A65" s="143" t="n"/>
      <c r="B65" s="104" t="inlineStr">
        <is>
          <t>CAR-ACC-0004</t>
        </is>
      </c>
      <c r="C65" s="104" t="inlineStr">
        <is>
          <t>La información debe ser perceptible visualmente sin depender de un único canal ni de una configuración de pantalla específica</t>
        </is>
      </c>
      <c r="D65" s="104" t="inlineStr">
        <is>
          <t>ESC-CAL-ACC-0007</t>
        </is>
      </c>
      <c r="E65" s="104" t="inlineStr">
        <is>
          <t>La información importante no debe comunicarse únicamente mediante colores</t>
        </is>
      </c>
      <c r="F65" s="16" t="n">
        <v>0</v>
      </c>
      <c r="G65" s="16" t="n">
        <v>0</v>
      </c>
      <c r="H65" s="16" t="n">
        <v>0</v>
      </c>
      <c r="I65" s="16">
        <f>SUM(F65:H65)</f>
        <v/>
      </c>
    </row>
    <row r="66" ht="67.5" customHeight="1">
      <c r="A66" s="143" t="n"/>
      <c r="B66" s="143" t="n"/>
      <c r="C66" s="143" t="n"/>
      <c r="D66" s="104" t="inlineStr">
        <is>
          <t>ESC-CAL-ACC-0008</t>
        </is>
      </c>
      <c r="E66" s="104" t="inlineStr">
        <is>
          <t>Al aumentar considerablemente el tamaño del texto o el zoom del navegador, las funciones esenciales deben continuar siendo visibles y utilizables</t>
        </is>
      </c>
      <c r="F66" s="16" t="n">
        <v>0</v>
      </c>
      <c r="G66" s="16" t="n">
        <v>0</v>
      </c>
      <c r="H66" s="16" t="n">
        <v>0</v>
      </c>
      <c r="I66" s="16">
        <f>SUM(F66:H66)</f>
        <v/>
      </c>
    </row>
    <row r="67" ht="41.4" customHeight="1">
      <c r="A67" s="144" t="n"/>
      <c r="B67" s="144" t="n"/>
      <c r="C67" s="144" t="n"/>
      <c r="D67" s="104" t="inlineStr">
        <is>
          <t>ESC-CAL-ACC-0009</t>
        </is>
      </c>
      <c r="E67" s="104" t="inlineStr">
        <is>
          <t>La interfaz debe mantener suficiente contraste entre texto, controles y fondos para facilitar su lectura</t>
        </is>
      </c>
      <c r="F67" s="16" t="n">
        <v>0</v>
      </c>
      <c r="G67" s="16" t="n">
        <v>0</v>
      </c>
      <c r="H67" s="16" t="n">
        <v>0</v>
      </c>
      <c r="I67" s="16">
        <f>SUM(F67:H67)</f>
        <v/>
      </c>
    </row>
    <row r="68" ht="41.4" customHeight="1">
      <c r="A68" s="105" t="inlineStr">
        <is>
          <t>Rendimiento</t>
        </is>
      </c>
      <c r="B68" s="106" t="inlineStr">
        <is>
          <t>CAR-REN-0001</t>
        </is>
      </c>
      <c r="C68" s="106" t="inlineStr">
        <is>
          <t>El sistema debe conservar tiempos de respuesta aceptables en las operaciones principales, incluso al aumentar la carga de usuarios</t>
        </is>
      </c>
      <c r="D68" s="106" t="inlineStr">
        <is>
          <t>ESC-CAL-REN-0001</t>
        </is>
      </c>
      <c r="E68" s="106" t="inlineStr">
        <is>
          <t>Quiero que si el número de usuarios diarios sube mucho la plataforma siga demorando menos de 3s al realizar cualquier operación</t>
        </is>
      </c>
      <c r="F68" s="38" t="n">
        <v>1</v>
      </c>
      <c r="G68" s="38" t="n">
        <v>1</v>
      </c>
      <c r="H68" s="38" t="n">
        <v>0</v>
      </c>
      <c r="I68" s="38">
        <f>SUM(F68:H68)</f>
        <v/>
      </c>
    </row>
    <row r="69" ht="41.4" customHeight="1">
      <c r="A69" s="143" t="n"/>
      <c r="B69" s="143" t="n"/>
      <c r="C69" s="143" t="n"/>
      <c r="D69" s="106" t="inlineStr">
        <is>
          <t>ESC-CAL-REN-0002</t>
        </is>
      </c>
      <c r="E69" s="106" t="inlineStr">
        <is>
          <t>Las acciones de aceptar, rechazar o responder una propuesta reflejan de inmediato la nueva interfaz</t>
        </is>
      </c>
      <c r="F69" s="16" t="n">
        <v>1</v>
      </c>
      <c r="G69" s="16" t="n">
        <v>0</v>
      </c>
      <c r="H69" s="16" t="n">
        <v>0</v>
      </c>
      <c r="I69" s="16">
        <f>SUM(F69:H69)</f>
        <v/>
      </c>
    </row>
    <row r="70" ht="41.4" customHeight="1">
      <c r="A70" s="143" t="n"/>
      <c r="B70" s="144" t="n"/>
      <c r="C70" s="144" t="n"/>
      <c r="D70" s="106" t="inlineStr">
        <is>
          <t>ESC-CAL-REN-0003</t>
        </is>
      </c>
      <c r="E70" s="106" t="inlineStr">
        <is>
          <t>Durante periodos de alta actividad, iniciar sesión y acceder a la pantalla principal debe conservar tiempos de respuesta aceptables</t>
        </is>
      </c>
      <c r="F70" s="16" t="n">
        <v>1</v>
      </c>
      <c r="G70" s="16" t="n">
        <v>0</v>
      </c>
      <c r="H70" s="16" t="n">
        <v>0</v>
      </c>
      <c r="I70" s="16">
        <f>SUM(F70:H70)</f>
        <v/>
      </c>
    </row>
    <row r="71" ht="41.4" customHeight="1">
      <c r="A71" s="143" t="n"/>
      <c r="B71" s="106" t="inlineStr">
        <is>
          <t>CAR-REN-0002</t>
        </is>
      </c>
      <c r="C71" s="106" t="inlineStr">
        <is>
          <t>La interfaz debe mantenerse fluida al presentar contenido pesado o grandes conjuntos de publicaciones</t>
        </is>
      </c>
      <c r="D71" s="106" t="inlineStr">
        <is>
          <t>ESC-CAL-REN-0004</t>
        </is>
      </c>
      <c r="E71" s="106" t="inlineStr">
        <is>
          <t>Quiero que los usuarios no tengan congelamientos en pantallas que tengan muchas imágenes o contenido</t>
        </is>
      </c>
      <c r="F71" s="38" t="n">
        <v>1</v>
      </c>
      <c r="G71" s="38" t="n">
        <v>1</v>
      </c>
      <c r="H71" s="38" t="n">
        <v>0</v>
      </c>
      <c r="I71" s="38">
        <f>SUM(F71:H71)</f>
        <v/>
      </c>
    </row>
    <row r="72" ht="41.4" customHeight="1">
      <c r="A72" s="143" t="n"/>
      <c r="B72" s="143" t="n"/>
      <c r="C72" s="143" t="n"/>
      <c r="D72" s="106" t="inlineStr">
        <is>
          <t>ESC-CAL-REN-0005</t>
        </is>
      </c>
      <c r="E72" s="106" t="inlineStr">
        <is>
          <t>La consulta del detalle de una publicación responde rápidamente incluso cuando contiene varias imágenes</t>
        </is>
      </c>
      <c r="F72" s="16" t="n">
        <v>0</v>
      </c>
      <c r="G72" s="16" t="n">
        <v>0</v>
      </c>
      <c r="H72" s="16" t="n">
        <v>0</v>
      </c>
      <c r="I72" s="16">
        <f>SUM(F72:H72)</f>
        <v/>
      </c>
    </row>
    <row r="73" ht="69" customHeight="1">
      <c r="A73" s="143" t="n"/>
      <c r="B73" s="143" t="n"/>
      <c r="C73" s="143" t="n"/>
      <c r="D73" s="106" t="inlineStr">
        <is>
          <t>ESC-CAL-REN-0006</t>
        </is>
      </c>
      <c r="E73" s="106" t="inlineStr">
        <is>
          <t>Al cargar el listado principal de publicaciones, el usuario debe comenzar a visualizar contenido sin esperar a que todas las imágenes terminen de cargarse completamente</t>
        </is>
      </c>
      <c r="F73" s="16" t="n">
        <v>0</v>
      </c>
      <c r="G73" s="16" t="n">
        <v>0</v>
      </c>
      <c r="H73" s="16" t="n">
        <v>0</v>
      </c>
      <c r="I73" s="16">
        <f>SUM(F73:H73)</f>
        <v/>
      </c>
    </row>
    <row r="74" ht="55.2" customHeight="1">
      <c r="A74" s="143" t="n"/>
      <c r="B74" s="144" t="n"/>
      <c r="C74" s="144" t="n"/>
      <c r="D74" s="106" t="inlineStr">
        <is>
          <t>ESC-CAL-REN-0007</t>
        </is>
      </c>
      <c r="E74" s="106" t="inlineStr">
        <is>
          <t>La aplicación de filtros sobre un conjunto grande de publicaciones debe actualizar los resultados sin producir bloqueos prolongados de la interfaz</t>
        </is>
      </c>
      <c r="F74" s="16" t="n">
        <v>0</v>
      </c>
      <c r="G74" s="16" t="n">
        <v>0</v>
      </c>
      <c r="H74" s="16" t="n">
        <v>0</v>
      </c>
      <c r="I74" s="16">
        <f>SUM(F74:H74)</f>
        <v/>
      </c>
    </row>
    <row r="75" ht="55.2" customHeight="1">
      <c r="A75" s="143" t="n"/>
      <c r="B75" s="106" t="inlineStr">
        <is>
          <t>CAR-REN-0003</t>
        </is>
      </c>
      <c r="C75" s="106" t="inlineStr">
        <is>
          <t>El sistema debe conservar su rendimiento aunque el usuario acumule un historial considerable de operaciones y mensajes</t>
        </is>
      </c>
      <c r="D75" s="106" t="inlineStr">
        <is>
          <t>ESC-CAL-REN-0008</t>
        </is>
      </c>
      <c r="E75" s="35" t="inlineStr">
        <is>
          <t>Consultar las negociaciones activas de un usuario debe mantenerse rápido, aunque este acumule un historial considerable de operaciones anteriores</t>
        </is>
      </c>
      <c r="F75" s="16" t="n">
        <v>0</v>
      </c>
      <c r="G75" s="16" t="n">
        <v>0</v>
      </c>
      <c r="H75" s="16" t="n">
        <v>0</v>
      </c>
      <c r="I75" s="16">
        <f>SUM(F75:H75)</f>
        <v/>
      </c>
    </row>
    <row r="76" ht="41.4" customHeight="1">
      <c r="A76" s="143" t="n"/>
      <c r="B76" s="144" t="n"/>
      <c r="C76" s="144" t="n"/>
      <c r="D76" s="106" t="inlineStr">
        <is>
          <t>ESC-CAL-REN-0009</t>
        </is>
      </c>
      <c r="E76" s="35" t="inlineStr">
        <is>
          <t>Cargar la información principal de un chat no debe retrasarse significativamente debido a la existencia de mensajes antiguos</t>
        </is>
      </c>
      <c r="F76" s="16" t="n">
        <v>0</v>
      </c>
      <c r="G76" s="16" t="n">
        <v>0</v>
      </c>
      <c r="H76" s="16" t="n">
        <v>0</v>
      </c>
      <c r="I76" s="16">
        <f>SUM(F76:H76)</f>
        <v/>
      </c>
    </row>
    <row r="77" ht="41.4" customHeight="1">
      <c r="A77" s="143" t="n"/>
      <c r="B77" s="106" t="inlineStr">
        <is>
          <t>CAR-REN-0004</t>
        </is>
      </c>
      <c r="C77" s="106" t="inlineStr">
        <is>
          <t>La comunicación durante una negociación debe percibirse como inmediata entre las partes</t>
        </is>
      </c>
      <c r="D77" s="106" t="inlineStr">
        <is>
          <t>ESC-CAL-REN-0010</t>
        </is>
      </c>
      <c r="E77" s="106" t="inlineStr">
        <is>
          <t>Los mensajes enviados durante una negociación aparecen en 2s máximo para la otra parte</t>
        </is>
      </c>
      <c r="F77" s="38" t="n">
        <v>1</v>
      </c>
      <c r="G77" s="38" t="n">
        <v>1</v>
      </c>
      <c r="H77" s="38" t="n">
        <v>0</v>
      </c>
      <c r="I77" s="38">
        <f>SUM(F77:H77)</f>
        <v/>
      </c>
    </row>
    <row r="78" ht="55.2" customHeight="1">
      <c r="A78" s="144" t="n"/>
      <c r="B78" s="106" t="inlineStr">
        <is>
          <t>CAR-REN-0005</t>
        </is>
      </c>
      <c r="C78" s="106" t="inlineStr">
        <is>
          <t>Las cargas generadas por funciones administrativas no deben afectar el rendimiento de la operación normal de los usuarios</t>
        </is>
      </c>
      <c r="D78" s="106" t="inlineStr">
        <is>
          <t>ESC-CAL-REN-0011</t>
        </is>
      </c>
      <c r="E78" s="106" t="inlineStr">
        <is>
          <t>Las funciones administrativas de consulta no deben generar cargas tan pesadas que ralenticen las operaciones normales de compradores y vendedores</t>
        </is>
      </c>
      <c r="F78" s="16" t="n">
        <v>0</v>
      </c>
      <c r="G78" s="16" t="n">
        <v>0</v>
      </c>
      <c r="H78" s="16" t="n">
        <v>0</v>
      </c>
      <c r="I78" s="16">
        <f>SUM(F78:H78)</f>
        <v/>
      </c>
    </row>
    <row r="79" ht="41.4" customHeight="1">
      <c r="A79" s="107" t="inlineStr">
        <is>
          <t>Interoperabilidad</t>
        </is>
      </c>
      <c r="B79" s="108" t="inlineStr">
        <is>
          <t>CAR-INT-0001</t>
        </is>
      </c>
      <c r="C79" s="108" t="inlineStr">
        <is>
          <t>La plataforma debe poder incorporar nuevos proveedores externos apoyándose en protocolos estándares y con bajo impacto sobre el resto del sistema</t>
        </is>
      </c>
      <c r="D79" s="108" t="inlineStr">
        <is>
          <t>ESC-CAL-INT-0001</t>
        </is>
      </c>
      <c r="E79" s="108" t="inlineStr">
        <is>
          <t>Quiero que el sistema se pueda integrar fácilmente con nuevos servicios de pago que vayan saliendo en el tiempo</t>
        </is>
      </c>
      <c r="F79" s="16" t="n">
        <v>0</v>
      </c>
      <c r="G79" s="16" t="n">
        <v>0</v>
      </c>
      <c r="H79" s="16" t="n">
        <v>0</v>
      </c>
      <c r="I79" s="16">
        <f>SUM(F79:H79)</f>
        <v/>
      </c>
    </row>
    <row r="80" ht="69" customHeight="1">
      <c r="A80" s="143" t="n"/>
      <c r="B80" s="143" t="n"/>
      <c r="C80" s="143" t="n"/>
      <c r="D80" s="108" t="inlineStr">
        <is>
          <t>ESC-CAL-INT-0002</t>
        </is>
      </c>
      <c r="E80" s="108" t="inlineStr">
        <is>
          <t>El sistema debe tener protocolos de comunicación estándares que permitan que se pueda conectar a servicios de pasarelas de pago o autenticación cuando se estén integrando nuevos servicios externos</t>
        </is>
      </c>
      <c r="F80" s="16" t="n">
        <v>0</v>
      </c>
      <c r="G80" s="16" t="n">
        <v>0</v>
      </c>
      <c r="H80" s="16" t="n">
        <v>1</v>
      </c>
      <c r="I80" s="16">
        <f>SUM(F80:H80)</f>
        <v/>
      </c>
    </row>
    <row r="81" ht="55.2" customHeight="1">
      <c r="A81" s="143" t="n"/>
      <c r="B81" s="144" t="n"/>
      <c r="C81" s="144" t="n"/>
      <c r="D81" s="108" t="inlineStr">
        <is>
          <t>ESC-CAL-INT-0003</t>
        </is>
      </c>
      <c r="E81" s="108" t="inlineStr">
        <is>
          <t>Incorporar posteriormente un nuevo proveedor de notificaciones no debe requerir modificar las reglas centrales de publicaciones, compras o intercambios</t>
        </is>
      </c>
      <c r="F81" s="16" t="n">
        <v>0</v>
      </c>
      <c r="G81" s="16" t="n">
        <v>0</v>
      </c>
      <c r="H81" s="16" t="n">
        <v>0</v>
      </c>
      <c r="I81" s="16">
        <f>SUM(F81:H81)</f>
        <v/>
      </c>
    </row>
    <row r="82" ht="41.4" customHeight="1">
      <c r="A82" s="143" t="n"/>
      <c r="B82" s="108" t="inlineStr">
        <is>
          <t>CAR-INT-0002</t>
        </is>
      </c>
      <c r="C82" s="108" t="inlineStr">
        <is>
          <t>La lógica central del negocio no debe depender de la implementación ni de la versión específica de un proveedor externo</t>
        </is>
      </c>
      <c r="D82" s="108" t="inlineStr">
        <is>
          <t>ESC-CAL-INT-0004</t>
        </is>
      </c>
      <c r="E82" s="108" t="inlineStr">
        <is>
          <t>La lógica de negociación no debe depender de alguna implementación específica de una pasarela de pago</t>
        </is>
      </c>
      <c r="F82" s="16" t="n">
        <v>0</v>
      </c>
      <c r="G82" s="16" t="n">
        <v>0</v>
      </c>
      <c r="H82" s="16" t="n">
        <v>0</v>
      </c>
      <c r="I82" s="16">
        <f>SUM(F82:H82)</f>
        <v/>
      </c>
    </row>
    <row r="83" ht="69" customHeight="1">
      <c r="A83" s="143" t="n"/>
      <c r="B83" s="144" t="n"/>
      <c r="C83" s="144" t="n"/>
      <c r="D83" s="108" t="inlineStr">
        <is>
          <t>ESC-CAL-INT-0005</t>
        </is>
      </c>
      <c r="E83" s="108" t="inlineStr">
        <is>
          <t>Si cambia el formato o versión de una integración externa, el impacto debe quedar limitado principalmente al mecanismo encargado de comunicarse con dicho proveedor</t>
        </is>
      </c>
      <c r="F83" s="16" t="n">
        <v>0</v>
      </c>
      <c r="G83" s="16" t="n">
        <v>0</v>
      </c>
      <c r="H83" s="16" t="n">
        <v>0</v>
      </c>
      <c r="I83" s="16">
        <f>SUM(F83:H83)</f>
        <v/>
      </c>
    </row>
    <row r="84" ht="55.2" customHeight="1">
      <c r="A84" s="143" t="n"/>
      <c r="B84" s="108" t="inlineStr">
        <is>
          <t>CAR-INT-0003</t>
        </is>
      </c>
      <c r="C84" s="108" t="inlineStr">
        <is>
          <t>La plataforma debe procesar de forma confiable los mensajes que recibe de proveedores externos, incluidos duplicados, errores y fallas temporales</t>
        </is>
      </c>
      <c r="D84" s="108" t="inlineStr">
        <is>
          <t>ESC-CAL-INT-0006</t>
        </is>
      </c>
      <c r="E84" s="108" t="inlineStr">
        <is>
          <t>Si un proveedor externo envía dos veces la misma notificación de una operación, la plataforma debe reconocerla correctamente sin producir dos efectos de negocio</t>
        </is>
      </c>
      <c r="F84" s="16" t="n">
        <v>0</v>
      </c>
      <c r="G84" s="16" t="n">
        <v>0</v>
      </c>
      <c r="H84" s="16" t="n">
        <v>0</v>
      </c>
      <c r="I84" s="16">
        <f>SUM(F84:H84)</f>
        <v/>
      </c>
    </row>
    <row r="85" ht="55.2" customHeight="1">
      <c r="A85" s="143" t="n"/>
      <c r="B85" s="143" t="n"/>
      <c r="C85" s="143" t="n"/>
      <c r="D85" s="108" t="inlineStr">
        <is>
          <t>ESC-CAL-INT-0007</t>
        </is>
      </c>
      <c r="E85" s="108" t="inlineStr">
        <is>
          <t>Si un proveedor externo devuelve un error, la plataforma debe poder interpretar dicho resultado y mantener un estado interno coherente de la operación</t>
        </is>
      </c>
      <c r="F85" s="16" t="n">
        <v>0</v>
      </c>
      <c r="G85" s="16" t="n">
        <v>0</v>
      </c>
      <c r="H85" s="16" t="n">
        <v>0</v>
      </c>
      <c r="I85" s="16">
        <f>SUM(F85:H85)</f>
        <v/>
      </c>
    </row>
    <row r="86" ht="55.2" customHeight="1">
      <c r="A86" s="143" t="n"/>
      <c r="B86" s="144" t="n"/>
      <c r="C86" s="144" t="n"/>
      <c r="D86" s="108" t="inlineStr">
        <is>
          <t>ESC-CAL-INT-0008</t>
        </is>
      </c>
      <c r="E86" s="108" t="inlineStr">
        <is>
          <t>La falla temporal del servicio utilizado para enviar correos electrónicos no debe provocar la pérdida definitiva de las notificaciones que faltan por entregarse</t>
        </is>
      </c>
      <c r="F86" s="16" t="n">
        <v>0</v>
      </c>
      <c r="G86" s="16" t="n">
        <v>0</v>
      </c>
      <c r="H86" s="16" t="n">
        <v>0</v>
      </c>
      <c r="I86" s="16">
        <f>SUM(F86:H86)</f>
        <v/>
      </c>
    </row>
    <row r="87" ht="55.2" customHeight="1">
      <c r="A87" s="144" t="n"/>
      <c r="B87" s="108" t="inlineStr">
        <is>
          <t>CAR-INT-0004</t>
        </is>
      </c>
      <c r="C87" s="36" t="inlineStr">
        <is>
          <t>La información intercambiada con servicios externos debe poder relacionarse correctamente con la operación interna que le corresponde</t>
        </is>
      </c>
      <c r="D87" s="108" t="inlineStr">
        <is>
          <t>ESC-CAL-INT-0009</t>
        </is>
      </c>
      <c r="E87" s="108" t="inlineStr">
        <is>
          <t>La información intercambiada entre los servicios externos y la plataforma deben poder relacionarse claramente con la operación interna de DAZMA</t>
        </is>
      </c>
      <c r="F87" s="16" t="n">
        <v>0</v>
      </c>
      <c r="G87" s="16" t="n">
        <v>0</v>
      </c>
      <c r="H87" s="16" t="n">
        <v>0</v>
      </c>
      <c r="I87" s="16">
        <f>SUM(F87:H87)</f>
        <v/>
      </c>
    </row>
    <row r="88" ht="27.6" customHeight="1">
      <c r="A88" s="109" t="inlineStr">
        <is>
          <t>Capacidad</t>
        </is>
      </c>
      <c r="B88" s="110" t="inlineStr">
        <is>
          <t>CAR-CAP-0001</t>
        </is>
      </c>
      <c r="C88" s="110" t="inlineStr">
        <is>
          <t>La plataforma debe soportar el volumen de usuarios, negociaciones y conversaciones concurrentes definido por el negocio para cada etapa</t>
        </is>
      </c>
      <c r="D88" s="110" t="inlineStr">
        <is>
          <t>ESC-CAL-CAP-0001</t>
        </is>
      </c>
      <c r="E88" s="110" t="inlineStr">
        <is>
          <t>La plataforma soporta el volumen esperado de negociaciones concurrentes</t>
        </is>
      </c>
      <c r="F88" s="16" t="n">
        <v>0</v>
      </c>
      <c r="G88" s="16" t="n">
        <v>0</v>
      </c>
      <c r="H88" s="16" t="n">
        <v>0</v>
      </c>
      <c r="I88" s="16">
        <f>SUM(F88:H88)</f>
        <v/>
      </c>
    </row>
    <row r="89" ht="55.2" customHeight="1">
      <c r="A89" s="143" t="n"/>
      <c r="B89" s="143" t="n"/>
      <c r="C89" s="143" t="n"/>
      <c r="D89" s="110" t="inlineStr">
        <is>
          <t>ESC-CAL-CAP-0002</t>
        </is>
      </c>
      <c r="E89" s="110" t="inlineStr">
        <is>
          <t>DAZMA debe poder soportar el volumen máximo de usuarios concurrentes que el negocio determine para cada etapa de crecimiento</t>
        </is>
      </c>
      <c r="F89" s="16" t="n">
        <v>0</v>
      </c>
      <c r="G89" s="16" t="n">
        <v>0</v>
      </c>
      <c r="H89" s="16" t="n">
        <v>0</v>
      </c>
      <c r="I89" s="16">
        <f>SUM(F89:H89)</f>
        <v/>
      </c>
    </row>
    <row r="90" ht="41.4" customHeight="1">
      <c r="A90" s="143" t="n"/>
      <c r="B90" s="144" t="n"/>
      <c r="C90" s="144" t="n"/>
      <c r="D90" s="110" t="inlineStr">
        <is>
          <t>ESC-CAL-CAP-0003</t>
        </is>
      </c>
      <c r="E90" s="110" t="inlineStr">
        <is>
          <t>El chat debe poder atender el volumen de conversaciones simultáneas esperado durante los periodos de mayor utilización</t>
        </is>
      </c>
      <c r="F90" s="16" t="n">
        <v>0</v>
      </c>
      <c r="G90" s="16" t="n">
        <v>0</v>
      </c>
      <c r="H90" s="16" t="n">
        <v>0</v>
      </c>
      <c r="I90" s="16">
        <f>SUM(F90:H90)</f>
        <v/>
      </c>
    </row>
    <row r="91" ht="41.4" customHeight="1">
      <c r="A91" s="143" t="n"/>
      <c r="B91" s="110" t="inlineStr">
        <is>
          <t>CAR-CAP-0002</t>
        </is>
      </c>
      <c r="C91" s="110" t="inlineStr">
        <is>
          <t>La plataforma debe soportar el volumen previsto de publicaciones e imágenes almacenadas sin agotar sus recursos</t>
        </is>
      </c>
      <c r="D91" s="110" t="inlineStr">
        <is>
          <t>ESC-CAL-CAP-0004</t>
        </is>
      </c>
      <c r="E91" s="110" t="inlineStr">
        <is>
          <t>El sistema soporta el volumen objetivo de publicaciones activas sin dejar de operar correctamente</t>
        </is>
      </c>
      <c r="F91" s="16" t="n">
        <v>0</v>
      </c>
      <c r="G91" s="16" t="n">
        <v>0</v>
      </c>
      <c r="H91" s="16" t="n">
        <v>0</v>
      </c>
      <c r="I91" s="16">
        <f>SUM(F91:H91)</f>
        <v/>
      </c>
    </row>
    <row r="92" ht="55.2" customHeight="1">
      <c r="A92" s="143" t="n"/>
      <c r="B92" s="144" t="n"/>
      <c r="C92" s="144" t="n"/>
      <c r="D92" s="110" t="inlineStr">
        <is>
          <t>ESC-CAL-CAP-0005</t>
        </is>
      </c>
      <c r="E92" s="110" t="inlineStr">
        <is>
          <t>La plataforma debe poder almacenar el volumen de publicaciones e imágenes previsto sin impedir nuevas publicaciones por agotamientos inesperados de recursos</t>
        </is>
      </c>
      <c r="F92" s="16" t="n">
        <v>0</v>
      </c>
      <c r="G92" s="16" t="n">
        <v>0</v>
      </c>
      <c r="H92" s="16" t="n">
        <v>0</v>
      </c>
      <c r="I92" s="16">
        <f>SUM(F92:H92)</f>
        <v/>
      </c>
    </row>
    <row r="93" ht="41.4" customHeight="1">
      <c r="A93" s="143" t="n"/>
      <c r="B93" s="110" t="inlineStr">
        <is>
          <t>CAR-CAP-0003</t>
        </is>
      </c>
      <c r="C93" s="110" t="inlineStr">
        <is>
          <t>El sistema debe detectar la proximidad a sus límites operativos antes de alcanzar un punto de saturación</t>
        </is>
      </c>
      <c r="D93" s="110" t="inlineStr">
        <is>
          <t>ESC-CAL-CAP-0006</t>
        </is>
      </c>
      <c r="E93" s="110" t="inlineStr">
        <is>
          <t>El sistema debe identificar cuando se aproxima a ciertos limites operativos antes de llegar a un punto de saturación</t>
        </is>
      </c>
      <c r="F93" s="38" t="n">
        <v>0</v>
      </c>
      <c r="G93" s="38" t="n">
        <v>1</v>
      </c>
      <c r="H93" s="38" t="n">
        <v>1</v>
      </c>
      <c r="I93" s="38">
        <f>SUM(F93:H93)</f>
        <v/>
      </c>
    </row>
    <row r="94" ht="55.2" customHeight="1">
      <c r="A94" s="143" t="n"/>
      <c r="B94" s="144" t="n"/>
      <c r="C94" s="144" t="n"/>
      <c r="D94" s="110" t="inlineStr">
        <is>
          <t>ESC-CAL-CAP-0007</t>
        </is>
      </c>
      <c r="E94" s="110" t="inlineStr">
        <is>
          <t>El volumen de operaciones económicas simultaneas no debe superar la capacidad del sistema sin que exista alguna forma de detectarlo</t>
        </is>
      </c>
      <c r="F94" s="16" t="n">
        <v>0</v>
      </c>
      <c r="G94" s="16" t="n">
        <v>0</v>
      </c>
      <c r="H94" s="16" t="n">
        <v>0</v>
      </c>
      <c r="I94" s="16">
        <f>SUM(F94:H94)</f>
        <v/>
      </c>
    </row>
    <row r="95" ht="41.4" customHeight="1">
      <c r="A95" s="143" t="n"/>
      <c r="B95" s="110" t="inlineStr">
        <is>
          <t>CAR-CAP-0004</t>
        </is>
      </c>
      <c r="C95" s="110" t="inlineStr">
        <is>
          <t>La capacidad de la plataforma debe poder verificarse y ampliarse de forma controlada antes de un crecimiento previsto</t>
        </is>
      </c>
      <c r="D95" s="110" t="inlineStr">
        <is>
          <t>ESC-CAL-CAP-0008</t>
        </is>
      </c>
      <c r="E95" s="110" t="inlineStr">
        <is>
          <t>El sistema debe activar automáticamente más servidores para recibir más peticiones en picos de tráfico</t>
        </is>
      </c>
      <c r="F95" s="16" t="n">
        <v>0</v>
      </c>
      <c r="G95" s="16" t="n">
        <v>0</v>
      </c>
      <c r="H95" s="16" t="n">
        <v>0</v>
      </c>
      <c r="I95" s="16">
        <f>SUM(F95:H95)</f>
        <v/>
      </c>
    </row>
    <row r="96" ht="69" customHeight="1">
      <c r="A96" s="144" t="n"/>
      <c r="B96" s="144" t="n"/>
      <c r="C96" s="144" t="n"/>
      <c r="D96" s="110" t="inlineStr">
        <is>
          <t>ESC-CAL-CAP-0009</t>
        </is>
      </c>
      <c r="E96" s="110" t="inlineStr">
        <is>
          <t>Antes de ampliar considerablemente la cantidad de usuarios, se debe poder comprobar mediante pruebas cuál es el volumen concurrente que la plataforma puede soportar</t>
        </is>
      </c>
      <c r="F96" s="16" t="n">
        <v>0</v>
      </c>
      <c r="G96" s="16" t="n">
        <v>0</v>
      </c>
      <c r="H96" s="16" t="n">
        <v>0</v>
      </c>
      <c r="I96" s="16">
        <f>SUM(F96:H96)</f>
        <v/>
      </c>
    </row>
    <row r="97" ht="55.2" customHeight="1">
      <c r="A97" s="111" t="inlineStr">
        <is>
          <t>Portabilidad</t>
        </is>
      </c>
      <c r="B97" s="112" t="inlineStr">
        <is>
          <t>CAR-POR-0001</t>
        </is>
      </c>
      <c r="C97" s="112" t="inlineStr">
        <is>
          <t>La plataforma debe ser accesible desde cualquier dispositivo con navegador web, sin requerir componentes propios instalados</t>
        </is>
      </c>
      <c r="D97" s="112" t="inlineStr">
        <is>
          <t>ESC-CAL-POR-0001</t>
        </is>
      </c>
      <c r="E97" s="112" t="inlineStr">
        <is>
          <t>Quiero que una persona desde cualquier dispositivo de TI con un navegador web pueda acceder a la página sin limitaciones significativas</t>
        </is>
      </c>
      <c r="F97" s="16" t="n">
        <v>0</v>
      </c>
      <c r="G97" s="16" t="n">
        <v>0</v>
      </c>
      <c r="H97" s="16" t="n">
        <v>0</v>
      </c>
      <c r="I97" s="16">
        <f>SUM(F97:H97)</f>
        <v/>
      </c>
    </row>
    <row r="98" ht="55.2" customHeight="1">
      <c r="A98" s="143" t="n"/>
      <c r="B98" s="144" t="n"/>
      <c r="C98" s="144" t="n"/>
      <c r="D98" s="112" t="inlineStr">
        <is>
          <t>ESC-CAL-POR-0002</t>
        </is>
      </c>
      <c r="E98" s="112" t="inlineStr">
        <is>
          <t>La plataforma no debe depender de extensiones propias instaladas en el navegador del usuario para ejecutar sus funcionalidades principales</t>
        </is>
      </c>
      <c r="F98" s="16" t="n">
        <v>0</v>
      </c>
      <c r="G98" s="16" t="n">
        <v>0</v>
      </c>
      <c r="H98" s="16" t="n">
        <v>0</v>
      </c>
      <c r="I98" s="16">
        <f>SUM(F98:H98)</f>
        <v/>
      </c>
    </row>
    <row r="99" ht="55.2" customHeight="1">
      <c r="A99" s="143" t="n"/>
      <c r="B99" s="112" t="inlineStr">
        <is>
          <t>CAR-POR-0002</t>
        </is>
      </c>
      <c r="C99" s="112" t="inlineStr">
        <is>
          <t>El comportamiento funcional de la plataforma debe conservarse en cualquier entorno soportado, variando únicamente su configuración</t>
        </is>
      </c>
      <c r="D99" s="112" t="inlineStr">
        <is>
          <t>ESC-CAL-POR-0003</t>
        </is>
      </c>
      <c r="E99" s="112" t="inlineStr">
        <is>
          <t>La configuración especifica de cada ambiente debe poder cambiar sin requerir modificar el comportamiento funcional de la plataforma</t>
        </is>
      </c>
      <c r="F99" s="16" t="n">
        <v>0</v>
      </c>
      <c r="G99" s="16" t="n">
        <v>0</v>
      </c>
      <c r="H99" s="16" t="n">
        <v>0</v>
      </c>
      <c r="I99" s="16">
        <f>SUM(F99:H99)</f>
        <v/>
      </c>
    </row>
    <row r="100" ht="82.8" customHeight="1">
      <c r="A100" s="143" t="n"/>
      <c r="B100" s="144" t="n"/>
      <c r="C100" s="144" t="n"/>
      <c r="D100" s="112" t="inlineStr">
        <is>
          <t>ESC-CAL-POR-0004</t>
        </is>
      </c>
      <c r="E100" s="112" t="inlineStr">
        <is>
          <t>Las funcionalidades principales deben conservar el mismo comportamiento independientemente del entorno en que se encuentre ejecutándose la plataforma, siempre y cuando este cumpla con las condiciones soportadas</t>
        </is>
      </c>
      <c r="F100" s="16" t="n">
        <v>0</v>
      </c>
      <c r="G100" s="16" t="n">
        <v>0</v>
      </c>
      <c r="H100" s="16" t="n">
        <v>0</v>
      </c>
      <c r="I100" s="16">
        <f>SUM(F100:H100)</f>
        <v/>
      </c>
    </row>
    <row r="101" ht="55.2" customHeight="1">
      <c r="A101" s="144" t="n"/>
      <c r="B101" s="112" t="inlineStr">
        <is>
          <t>CAR-POR-0003</t>
        </is>
      </c>
      <c r="C101" s="112" t="inlineStr">
        <is>
          <t>Los servicios de infraestructura deben poder sustituirse sin modificar las reglas de publicaciones, negociación o reputación</t>
        </is>
      </c>
      <c r="D101" s="112" t="inlineStr">
        <is>
          <t>ESC-CAL-POR-0005</t>
        </is>
      </c>
      <c r="E101" s="112" t="inlineStr">
        <is>
          <t>Cambiar determinados servicios de infraestructura no obliga a modificar directamente las reglas de publicaciones, negociación o reputación</t>
        </is>
      </c>
      <c r="F101" s="16" t="n">
        <v>0</v>
      </c>
      <c r="G101" s="16" t="n">
        <v>0</v>
      </c>
      <c r="H101" s="16" t="n">
        <v>0</v>
      </c>
      <c r="I101" s="16">
        <f>SUM(F101:H101)</f>
        <v/>
      </c>
    </row>
    <row r="102">
      <c r="C102" s="27" t="inlineStr">
        <is>
          <t>TOTAL caracteristicas</t>
        </is>
      </c>
      <c r="D102" s="27">
        <f>COUNTA(B2:B101)</f>
        <v/>
      </c>
      <c r="E102" s="27" t="inlineStr">
        <is>
          <t>TOTAL escenarios</t>
        </is>
      </c>
      <c r="F102" s="30">
        <f>SUM(F2:F101)</f>
        <v/>
      </c>
      <c r="G102" s="30">
        <f>SUM(G2:G101)</f>
        <v/>
      </c>
      <c r="H102" s="30">
        <f>SUM(H2:H101)</f>
        <v/>
      </c>
      <c r="I102" s="27">
        <f>SUM(I2:I101)</f>
        <v/>
      </c>
    </row>
  </sheetData>
  <mergeCells count="87">
    <mergeCell ref="C29:C30"/>
    <mergeCell ref="B68:B70"/>
    <mergeCell ref="C38:C40"/>
    <mergeCell ref="B84:B86"/>
    <mergeCell ref="B5:B7"/>
    <mergeCell ref="B29:B30"/>
    <mergeCell ref="A97:A101"/>
    <mergeCell ref="B45:B47"/>
    <mergeCell ref="C93:C94"/>
    <mergeCell ref="C18:C20"/>
    <mergeCell ref="C71:C74"/>
    <mergeCell ref="B22:B24"/>
    <mergeCell ref="B62:B64"/>
    <mergeCell ref="B31:B33"/>
    <mergeCell ref="B12:B14"/>
    <mergeCell ref="C27:C28"/>
    <mergeCell ref="A31:A37"/>
    <mergeCell ref="B8:B10"/>
    <mergeCell ref="C50:C52"/>
    <mergeCell ref="A12:A21"/>
    <mergeCell ref="A53:A58"/>
    <mergeCell ref="B56:B57"/>
    <mergeCell ref="B91:B92"/>
    <mergeCell ref="B25:B26"/>
    <mergeCell ref="C84:C86"/>
    <mergeCell ref="B41:B44"/>
    <mergeCell ref="C22:C24"/>
    <mergeCell ref="B97:B98"/>
    <mergeCell ref="B88:B90"/>
    <mergeCell ref="B27:B28"/>
    <mergeCell ref="B93:B94"/>
    <mergeCell ref="C12:C14"/>
    <mergeCell ref="C97:C98"/>
    <mergeCell ref="A22:A30"/>
    <mergeCell ref="C56:C57"/>
    <mergeCell ref="B60:B61"/>
    <mergeCell ref="E46:E47"/>
    <mergeCell ref="C62:C64"/>
    <mergeCell ref="B53:B54"/>
    <mergeCell ref="C95:C96"/>
    <mergeCell ref="C15:C17"/>
    <mergeCell ref="C60:C61"/>
    <mergeCell ref="C82:C83"/>
    <mergeCell ref="F46:F47"/>
    <mergeCell ref="A59:A67"/>
    <mergeCell ref="B95:B96"/>
    <mergeCell ref="C79:C81"/>
    <mergeCell ref="C88:C90"/>
    <mergeCell ref="A79:A87"/>
    <mergeCell ref="A88:A96"/>
    <mergeCell ref="C34:C35"/>
    <mergeCell ref="B38:B40"/>
    <mergeCell ref="B65:B67"/>
    <mergeCell ref="C2:C4"/>
    <mergeCell ref="B15:B17"/>
    <mergeCell ref="B71:B74"/>
    <mergeCell ref="B82:B83"/>
    <mergeCell ref="C68:C70"/>
    <mergeCell ref="B34:B35"/>
    <mergeCell ref="B50:B52"/>
    <mergeCell ref="C36:C37"/>
    <mergeCell ref="C45:C47"/>
    <mergeCell ref="B36:B37"/>
    <mergeCell ref="C91:C92"/>
    <mergeCell ref="B99:B100"/>
    <mergeCell ref="A68:A78"/>
    <mergeCell ref="B2:B4"/>
    <mergeCell ref="A38:A52"/>
    <mergeCell ref="C48:C49"/>
    <mergeCell ref="C31:C33"/>
    <mergeCell ref="B75:B76"/>
    <mergeCell ref="A2:A11"/>
    <mergeCell ref="C8:C10"/>
    <mergeCell ref="D46:D47"/>
    <mergeCell ref="C41:C44"/>
    <mergeCell ref="C75:C76"/>
    <mergeCell ref="B48:B49"/>
    <mergeCell ref="H46:H47"/>
    <mergeCell ref="C25:C26"/>
    <mergeCell ref="C99:C100"/>
    <mergeCell ref="B79:B81"/>
    <mergeCell ref="C5:C7"/>
    <mergeCell ref="B18:B20"/>
    <mergeCell ref="C53:C54"/>
    <mergeCell ref="C65:C67"/>
    <mergeCell ref="G46:G47"/>
    <mergeCell ref="I46:I4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zoomScale="81" workbookViewId="0">
      <selection activeCell="C27" sqref="C27"/>
    </sheetView>
  </sheetViews>
  <sheetFormatPr baseColWidth="10" defaultColWidth="10.88671875" defaultRowHeight="14.4"/>
  <cols>
    <col width="23.21875" customWidth="1" min="1" max="1"/>
    <col width="25.21875" customWidth="1" min="2" max="2"/>
    <col width="34.5546875" customWidth="1" min="3" max="3"/>
    <col width="30.21875" customWidth="1" min="4" max="4"/>
    <col width="35.5546875" customWidth="1" min="5" max="5"/>
  </cols>
  <sheetData>
    <row r="1" ht="47.25" customHeight="1">
      <c r="A1" s="51" t="inlineStr">
        <is>
          <t>Atributo de calidad</t>
        </is>
      </c>
      <c r="B1" s="52" t="inlineStr">
        <is>
          <t>Codigo caracteristica</t>
        </is>
      </c>
      <c r="C1" s="52" t="inlineStr">
        <is>
          <t xml:space="preserve">Descripcion de la caracteristica </t>
        </is>
      </c>
      <c r="D1" s="53" t="inlineStr">
        <is>
          <t>Codigo escenario de calidad</t>
        </is>
      </c>
      <c r="E1" s="52" t="inlineStr">
        <is>
          <t xml:space="preserve">Descripcion escenario de calidad </t>
        </is>
      </c>
      <c r="F1" s="76" t="n"/>
    </row>
    <row r="2" ht="69.59999999999999" customHeight="1">
      <c r="A2" s="126" t="inlineStr">
        <is>
          <t>Seguridad</t>
        </is>
      </c>
      <c r="B2" s="63" t="inlineStr">
        <is>
          <t>CAR-SEG-0001</t>
        </is>
      </c>
      <c r="C2" s="64" t="inlineStr">
        <is>
          <t xml:space="preserve">El sistema debe gestionar de forma segura las credenciales y el ciclo de vida de las sesiones de sus usuarios
</t>
        </is>
      </c>
      <c r="D2" s="77" t="inlineStr">
        <is>
          <t>ESC-CAL-SEG-0002</t>
        </is>
      </c>
      <c r="E2" s="133" t="inlineStr">
        <is>
          <t>Si un usuario deja su sesión abierta durante un periodo prolongado de inactividad, el sistema debe evitar que otra persona pueda continuar utilizando indefinidamente esa sesión</t>
        </is>
      </c>
      <c r="F2" s="71" t="n"/>
    </row>
    <row r="3" ht="55.2" customHeight="1">
      <c r="A3" s="146" t="n"/>
      <c r="B3" s="132" t="inlineStr">
        <is>
          <t>CAR-SEG-0002</t>
        </is>
      </c>
      <c r="C3" s="132" t="inlineStr">
        <is>
          <t>El sistema debe garantizar que cada usuario solo acceda y opere sobre los recursos y operaciones que le corresponden</t>
        </is>
      </c>
      <c r="D3" s="132" t="inlineStr">
        <is>
          <t>ESC-CAL-SEG-0004</t>
        </is>
      </c>
      <c r="E3" s="72" t="inlineStr">
        <is>
          <t>El sistema debe impedir que usuarios no autorizados accedan o modifiquen información y recursos que no les pertenecen</t>
        </is>
      </c>
    </row>
    <row r="4" ht="55.2" customHeight="1">
      <c r="A4" s="146" t="n"/>
      <c r="B4" s="132" t="inlineStr">
        <is>
          <t>CAR-SEG-0003</t>
        </is>
      </c>
      <c r="C4" s="133" t="inlineStr">
        <is>
          <t>El sistema debe proteger las operaciones económicas frente a uso indebido, repetición y exposición de información secreta</t>
        </is>
      </c>
      <c r="D4" s="132" t="inlineStr">
        <is>
          <t>ESC-CAL-SEG-0007</t>
        </is>
      </c>
      <c r="E4" s="73" t="inlineStr">
        <is>
          <t>Yo como comprador quiero que mi dinero se retenga en la aplicación hasta confirmar que el encuentro fue exitoso</t>
        </is>
      </c>
    </row>
    <row r="5" ht="57" customHeight="1">
      <c r="A5" s="147" t="n"/>
      <c r="B5" s="145" t="n"/>
      <c r="C5" s="145" t="n"/>
      <c r="D5" s="132" t="inlineStr">
        <is>
          <t>ESC-CAL-SEG-0008</t>
        </is>
      </c>
      <c r="E5" s="72" t="inlineStr">
        <is>
          <t>Las operaciones sensibles deben estar protegidas contra uso indebido, repetición y exposición de información secreta</t>
        </is>
      </c>
    </row>
    <row r="6" ht="57" customHeight="1">
      <c r="A6" s="148" t="inlineStr">
        <is>
          <t>Confiabilidad</t>
        </is>
      </c>
      <c r="B6" s="136" t="inlineStr">
        <is>
          <t>CAR-CON-0001</t>
        </is>
      </c>
      <c r="C6" s="136" t="inlineStr">
        <is>
          <t>El sistema debe preservar la integridad de la información crítica del negocio ante fallas e interrupciones</t>
        </is>
      </c>
      <c r="D6" s="136" t="inlineStr">
        <is>
          <t>ESC-CAL-CON-0001</t>
        </is>
      </c>
      <c r="E6" s="74" t="inlineStr">
        <is>
          <t>Quiero que cuando esté haciendo una transacción y el sistema se caiga el estado de esta no se corrompa</t>
        </is>
      </c>
    </row>
    <row r="7" ht="55.2" customHeight="1">
      <c r="A7" s="146" t="n"/>
      <c r="B7" s="145" t="n"/>
      <c r="C7" s="145" t="n"/>
      <c r="D7" s="66" t="inlineStr">
        <is>
          <t>ESC-CAL-CON-0002</t>
        </is>
      </c>
      <c r="E7" s="75" t="inlineStr">
        <is>
          <t>Las fallas temporales no deben provocar pérdida, duplicación o corrupción de información crítica del negocio</t>
        </is>
      </c>
      <c r="F7" s="71" t="n"/>
    </row>
    <row r="8" ht="42.75" customHeight="1">
      <c r="A8" s="146" t="n"/>
      <c r="B8" s="136" t="inlineStr">
        <is>
          <t>CAR-CON-0002</t>
        </is>
      </c>
      <c r="C8" s="136" t="inlineStr">
        <is>
          <t>El sistema debe garantizar que una misma operación crítica produzca un único efecto, sin importar cuántas veces se solicite</t>
        </is>
      </c>
      <c r="D8" s="136" t="inlineStr">
        <is>
          <t>ESC-CAL-CON-0005</t>
        </is>
      </c>
      <c r="E8" s="136" t="inlineStr">
        <is>
          <t>Una notificación de pago recibida dos veces no produce dos efectos económicos</t>
        </is>
      </c>
    </row>
    <row r="9" ht="57" customHeight="1">
      <c r="A9" s="146" t="n"/>
      <c r="B9" s="145" t="n"/>
      <c r="C9" s="145" t="n"/>
      <c r="D9" s="136" t="inlineStr">
        <is>
          <t>ESC-CAL-CON-0006</t>
        </is>
      </c>
      <c r="E9" s="136" t="inlineStr">
        <is>
          <t>Si un usuario presiona varias veces el botón de confirmar una operación debido a una conexión lenta, debe producirse un único resultado válido</t>
        </is>
      </c>
    </row>
    <row r="10" ht="28.5" customHeight="1">
      <c r="A10" s="147" t="n"/>
      <c r="B10" s="136" t="inlineStr">
        <is>
          <t>CAR-CON-0004</t>
        </is>
      </c>
      <c r="C10" s="136" t="inlineStr">
        <is>
          <t>El sistema debe detectar la degradación de sus recursos y ejecutar acciones de mitigación antes de que se produzca una interrupción del servicio</t>
        </is>
      </c>
      <c r="D10" s="136" t="inlineStr">
        <is>
          <t>ESC-CAL-CON-0010</t>
        </is>
      </c>
      <c r="E10" s="136" t="inlineStr">
        <is>
          <t>Si la plataforma supera las métricas saludables de funcionamiento y se aproxima la caída del sistema, se deben realizar acciones para mitigar daños mayores</t>
        </is>
      </c>
    </row>
    <row r="11" ht="69" customHeight="1">
      <c r="A11" s="137" t="inlineStr">
        <is>
          <t>Capacidad de ser auditado</t>
        </is>
      </c>
      <c r="B11" s="91" t="inlineStr">
        <is>
          <t>CAR-AUD-0001</t>
        </is>
      </c>
      <c r="C11" s="134" t="inlineStr">
        <is>
          <t>El sistema debe registrar quien hizo y el momento de cada acción crítica realizada sobre la plataforma</t>
        </is>
      </c>
      <c r="D11" s="91" t="inlineStr">
        <is>
          <t>ESC-CAL-AUD-0001</t>
        </is>
      </c>
      <c r="E11" s="91" t="inlineStr">
        <is>
          <t>Puede conocerse quién realizó una acción crítica sobre una negociación</t>
        </is>
      </c>
    </row>
    <row r="12" ht="69" customHeight="1">
      <c r="A12" s="149" t="n"/>
      <c r="B12" s="145" t="n"/>
      <c r="C12" s="145" t="n"/>
      <c r="D12" s="91" t="inlineStr">
        <is>
          <t>ESC-CAL-AUD-0003</t>
        </is>
      </c>
      <c r="E12" s="91" t="inlineStr">
        <is>
          <t>Cuando un administrador aplique una acción sobre una cuenta o publicación reportada, debe quedar evidencia de quién realizó la acción y sobre qué elemento</t>
        </is>
      </c>
    </row>
    <row r="13">
      <c r="A13" s="149" t="n"/>
      <c r="B13" s="91" t="inlineStr">
        <is>
          <t>CAR-AUD-0002</t>
        </is>
      </c>
      <c r="C13" s="91" t="inlineStr">
        <is>
          <t>El sistema debe conservar registros suficientes para investigar incidentes, protegidos contra alteración y sin almacenar secretos innecesarios</t>
        </is>
      </c>
      <c r="D13" s="91" t="inlineStr">
        <is>
          <t>ESC-CAL-AUD-0004</t>
        </is>
      </c>
      <c r="E13" s="91" t="inlineStr">
        <is>
          <t>Los registros conservan información suficiente para investigar incidentes sin almacenar innecesariamente contraseñas o secretos.</t>
        </is>
      </c>
    </row>
    <row r="14" ht="69" customHeight="1">
      <c r="A14" s="149" t="n"/>
      <c r="B14" s="91" t="inlineStr">
        <is>
          <t>CAR-AUD-0004</t>
        </is>
      </c>
      <c r="C14" s="91" t="inlineStr">
        <is>
          <t>El sistema debe permitir reconstruir cronológicamente lo ocurrido en una operación para atender reclamaciones y diagnosticar fallas</t>
        </is>
      </c>
      <c r="D14" s="91" t="inlineStr">
        <is>
          <t>ESC-CAL-AUD-0008</t>
        </is>
      </c>
      <c r="E14" s="91" t="inlineStr">
        <is>
          <t>Ante una reclamación, un usuario autorizado debe poder consultar cronológicamente los eventos importantes ocurridos durante una negociación</t>
        </is>
      </c>
    </row>
    <row r="15" ht="69" customHeight="1">
      <c r="A15" s="145" t="n"/>
      <c r="B15" s="145" t="n"/>
      <c r="C15" s="145" t="n"/>
      <c r="D15" s="145" t="n"/>
      <c r="E15" s="145" t="n"/>
    </row>
    <row r="16" ht="57" customHeight="1">
      <c r="A16" s="138" t="inlineStr">
        <is>
          <t>Disponibilidad</t>
        </is>
      </c>
      <c r="B16" s="97" t="inlineStr">
        <is>
          <t>CAR-DIS-0001</t>
        </is>
      </c>
      <c r="C16" s="97" t="inlineStr">
        <is>
          <t>El sistema debe seguir prestando sus funciones principales aunque un servicio secundario o externo se encuentre fuera de servicio</t>
        </is>
      </c>
      <c r="D16" s="97" t="inlineStr">
        <is>
          <t>ESC-CAL-DIS-0002</t>
        </is>
      </c>
      <c r="E16" s="97" t="inlineStr">
        <is>
          <t>Una falla temporal del servicio de correo o notificaciones no debe impedir que compradores y vendedores continúen utilizando las funciones principales del marketplace</t>
        </is>
      </c>
    </row>
    <row r="17" ht="40.2" customHeight="1">
      <c r="A17" s="149" t="n"/>
      <c r="B17" s="97" t="inlineStr">
        <is>
          <t>CAR-DIS-0002</t>
        </is>
      </c>
      <c r="C17" s="97" t="inlineStr">
        <is>
          <t>El sistema debe evitar que una falla deje al usuario bloqueado o le haga perder el avance de su negociación</t>
        </is>
      </c>
      <c r="D17" s="97" t="inlineStr">
        <is>
          <t>ESC-CAL-DIS-0005</t>
        </is>
      </c>
      <c r="E17" s="46" t="inlineStr">
        <is>
          <t>Si un servicio crítico deja de responder, la plataforma informa la falta de servicio sin dejar al usuario en una pantalla bloqueada indefinidamente</t>
        </is>
      </c>
    </row>
    <row r="18" ht="57" customHeight="1">
      <c r="A18" s="149" t="n"/>
      <c r="B18" s="145" t="n"/>
      <c r="C18" s="145" t="n"/>
      <c r="D18" s="145" t="n"/>
      <c r="E18" s="145" t="n"/>
    </row>
    <row r="19" ht="85.5" customHeight="1">
      <c r="A19" s="145" t="n"/>
      <c r="B19" s="97" t="inlineStr">
        <is>
          <t>CAR-DIS-0003</t>
        </is>
      </c>
      <c r="C19" s="97" t="inlineStr">
        <is>
          <t>El sistema debe poder evolucionar, mantenerse y recuperarse afectando lo menos posible la operación de los usuarios</t>
        </is>
      </c>
      <c r="D19" s="97" t="inlineStr">
        <is>
          <t>ESC-CAL-DIS-0006</t>
        </is>
      </c>
      <c r="E19" s="97" t="inlineStr">
        <is>
          <t>Quiero que el sistema siga funcionando, aunque se metan funcionalidades nuevas cada cierto tiempo</t>
        </is>
      </c>
    </row>
    <row r="20" ht="73.95" customHeight="1">
      <c r="A20" s="139" t="inlineStr">
        <is>
          <t>Usabilidad</t>
        </is>
      </c>
      <c r="B20" s="140" t="inlineStr">
        <is>
          <t>CAR-USA-0002</t>
        </is>
      </c>
      <c r="C20" s="140" t="inlineStr">
        <is>
          <t>La interfaz debe mantener siempre visible el estado actual de las operaciones del usuario sin exigirle memorizar lo ocurrido</t>
        </is>
      </c>
      <c r="D20" s="67" t="inlineStr">
        <is>
          <t>ESC-CAL-USA-0004</t>
        </is>
      </c>
      <c r="E20" s="98" t="inlineStr">
        <is>
          <t>Cuando un usuario complete correctamente una operación, la interfaz debe indicarle inmediatamente que la acción fue realizada con éxito</t>
        </is>
      </c>
      <c r="F20" s="71" t="n"/>
    </row>
    <row r="21" ht="69" customHeight="1">
      <c r="A21" s="149" t="n"/>
      <c r="B21" s="149" t="n"/>
      <c r="C21" s="149" t="n"/>
      <c r="D21" s="140" t="inlineStr">
        <is>
          <t>ESC-CAL-USA-0005</t>
        </is>
      </c>
      <c r="E21" s="140" t="inlineStr">
        <is>
          <t>El usuario debe poder identificar fácilmente en qué estado se encuentra una negociación sin tener que recordar las acciones realizadas anteriormente</t>
        </is>
      </c>
    </row>
    <row r="22" ht="55.2" customHeight="1">
      <c r="A22" s="149" t="n"/>
      <c r="B22" s="145" t="n"/>
      <c r="C22" s="145" t="n"/>
      <c r="D22" s="140" t="inlineStr">
        <is>
          <t>ESC-CAL-USA-0006</t>
        </is>
      </c>
      <c r="E22" s="140" t="inlineStr">
        <is>
          <t>Al realizar una propuesta de intercambio, debe diferenciarse claramente qué producto entrega cada persona y qué producto recibirá</t>
        </is>
      </c>
    </row>
    <row r="23" ht="91.5" customHeight="1">
      <c r="A23" s="149" t="n"/>
      <c r="B23" s="140" t="inlineStr">
        <is>
          <t>CAR-USA-0003</t>
        </is>
      </c>
      <c r="C23" s="140" t="inlineStr">
        <is>
          <t>La interfaz debe prevenir errores del usuario y facilitar su recuperación sin pérdida de trabajo</t>
        </is>
      </c>
      <c r="D23" s="140" t="inlineStr">
        <is>
          <t>ESC-CAL-USA-0009</t>
        </is>
      </c>
      <c r="E23" s="140" t="inlineStr">
        <is>
          <t>Los mensajes de error deben ser suficientemente claros para los usuarios, con descripciones que realmente hagan entender al usuario qué provocó el error</t>
        </is>
      </c>
    </row>
    <row r="24" ht="69" customHeight="1">
      <c r="A24" s="149" t="n"/>
      <c r="B24" s="140" t="inlineStr">
        <is>
          <t>CAR-USA-0005</t>
        </is>
      </c>
      <c r="C24" s="140" t="inlineStr">
        <is>
          <t>El sistema debe acompañar al usuario antes de que tome decisiones importantes y ofrecerle ayuda accesible</t>
        </is>
      </c>
      <c r="D24" s="140" t="inlineStr">
        <is>
          <t>ESC-CAL-USA-0013</t>
        </is>
      </c>
      <c r="E24" s="140" t="inlineStr">
        <is>
          <t>Los flujos principales deben ser comprensibles para usuarios con distintos niveles de experiencia digital y mostrar con claridad qué está ocurriendo</t>
        </is>
      </c>
    </row>
    <row r="25" ht="71.25" customHeight="1">
      <c r="A25" s="145" t="n"/>
      <c r="B25" s="145" t="n"/>
      <c r="C25" s="145" t="n"/>
      <c r="D25" s="140" t="inlineStr">
        <is>
          <t>ESC-CAL-USA-0015</t>
        </is>
      </c>
      <c r="E25" s="140" t="inlineStr">
        <is>
          <t>Antes de confirmar una compra, intercambio o acción importante, el usuario debe comprender claramente qué ocurrirá después de confirmar</t>
        </is>
      </c>
    </row>
    <row r="26" ht="57" customHeight="1">
      <c r="A26" s="54" t="inlineStr">
        <is>
          <t>Escalabilidad</t>
        </is>
      </c>
      <c r="B26" s="48" t="inlineStr">
        <is>
          <t>CAR-ESC-0002</t>
        </is>
      </c>
      <c r="C26" s="48" t="inlineStr">
        <is>
          <t>La plataforma debe absorber picos de demanda sin interrumpir el servicio</t>
        </is>
      </c>
      <c r="D26" s="48" t="inlineStr">
        <is>
          <t>ESC-CAL-ESC-0003</t>
        </is>
      </c>
      <c r="E26" s="48" t="inlineStr">
        <is>
          <t>Quiero que si hay mucha gente comprando en un pico específico de tráfico como un Black Friday o navidad la plataforma no se caiga</t>
        </is>
      </c>
    </row>
    <row r="27" ht="68.25" customHeight="1">
      <c r="A27" s="135" t="inlineStr">
        <is>
          <t>Rendimiento</t>
        </is>
      </c>
      <c r="B27" s="49" t="inlineStr">
        <is>
          <t>CAR-REN-0001</t>
        </is>
      </c>
      <c r="C27" s="49" t="inlineStr">
        <is>
          <t>El sistema debe conservar tiempos de respuesta aceptables en las operaciones principales, incluso al aumentar la carga de usuarios</t>
        </is>
      </c>
      <c r="D27" s="49" t="inlineStr">
        <is>
          <t>ESC-CAL-REN-0001</t>
        </is>
      </c>
      <c r="E27" s="49" t="inlineStr">
        <is>
          <t>Quiero que si el número de usuarios diarios sube mucho la plataforma siga demorando menos de 3s al realizar cualquier operación</t>
        </is>
      </c>
    </row>
    <row r="28" ht="57" customHeight="1">
      <c r="A28" s="149" t="n"/>
      <c r="B28" s="49" t="inlineStr">
        <is>
          <t>CAR-REN-0002</t>
        </is>
      </c>
      <c r="C28" s="49" t="inlineStr">
        <is>
          <t>La interfaz debe mantenerse fluida al presentar contenido pesado o grandes conjuntos de publicaciones</t>
        </is>
      </c>
      <c r="D28" s="49" t="inlineStr">
        <is>
          <t>ESC-CAL-REN-0004</t>
        </is>
      </c>
      <c r="E28" s="49" t="inlineStr">
        <is>
          <t>Quiero que los usuarios no tengan congelamientos en pantallas que tengan muchas imágenes o contenido</t>
        </is>
      </c>
    </row>
    <row r="29" ht="41.4" customHeight="1">
      <c r="A29" s="145" t="n"/>
      <c r="B29" s="49" t="inlineStr">
        <is>
          <t>CAR-REN-0004</t>
        </is>
      </c>
      <c r="C29" s="49" t="inlineStr">
        <is>
          <t>La comunicación durante una negociación debe percibirse como inmediata entre las partes</t>
        </is>
      </c>
      <c r="D29" s="49" t="inlineStr">
        <is>
          <t>ESC-CAL-REN-0010</t>
        </is>
      </c>
      <c r="E29" s="49" t="inlineStr">
        <is>
          <t>Los mensajes enviados durante una negociación aparecen en 2s máximo para la otra parte</t>
        </is>
      </c>
    </row>
    <row r="30" ht="57" customHeight="1">
      <c r="A30" s="55" t="inlineStr">
        <is>
          <t>Capacidad</t>
        </is>
      </c>
      <c r="B30" s="50" t="inlineStr">
        <is>
          <t>CAR-CAP-0003</t>
        </is>
      </c>
      <c r="C30" s="50" t="inlineStr">
        <is>
          <t>El sistema debe detectar la proximidad a sus límites operativos antes de alcanzar un punto de saturación</t>
        </is>
      </c>
      <c r="D30" s="50" t="inlineStr">
        <is>
          <t>ESC-CAL-CAP-0006</t>
        </is>
      </c>
      <c r="E30" s="50" t="inlineStr">
        <is>
          <t>El sistema debe identificar cuando se aproxima a ciertos limites operativos antes de llegar a un punto de saturación</t>
        </is>
      </c>
    </row>
    <row r="31">
      <c r="B31" s="39" t="n"/>
      <c r="C31" s="39" t="n"/>
    </row>
  </sheetData>
  <mergeCells count="26">
    <mergeCell ref="E17:E18"/>
    <mergeCell ref="C4:C5"/>
    <mergeCell ref="B17:B18"/>
    <mergeCell ref="B8:B9"/>
    <mergeCell ref="B11:B12"/>
    <mergeCell ref="D17:D18"/>
    <mergeCell ref="A16:A19"/>
    <mergeCell ref="B14:B15"/>
    <mergeCell ref="B20:B22"/>
    <mergeCell ref="C11:C12"/>
    <mergeCell ref="B6:B7"/>
    <mergeCell ref="B24:B25"/>
    <mergeCell ref="C8:C9"/>
    <mergeCell ref="C17:C18"/>
    <mergeCell ref="A2:A5"/>
    <mergeCell ref="C20:C22"/>
    <mergeCell ref="A11:A15"/>
    <mergeCell ref="D14:D15"/>
    <mergeCell ref="A6:A10"/>
    <mergeCell ref="B4:B5"/>
    <mergeCell ref="A20:A25"/>
    <mergeCell ref="C6:C7"/>
    <mergeCell ref="C24:C25"/>
    <mergeCell ref="C14:C15"/>
    <mergeCell ref="A27:A29"/>
    <mergeCell ref="E14:E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9"/>
  <sheetViews>
    <sheetView tabSelected="1" topLeftCell="B1" zoomScaleNormal="100" workbookViewId="0">
      <pane ySplit="1" topLeftCell="A16" activePane="bottomLeft" state="frozen"/>
      <selection pane="bottomLeft" activeCell="B17" sqref="B17"/>
    </sheetView>
  </sheetViews>
  <sheetFormatPr baseColWidth="10" defaultColWidth="10.88671875" defaultRowHeight="14.4"/>
  <cols>
    <col width="20.21875" customWidth="1" min="1" max="1"/>
    <col width="41.44140625" customWidth="1" min="2" max="2"/>
    <col width="22" customWidth="1" min="3" max="3"/>
    <col width="12" customWidth="1" min="4" max="4"/>
    <col width="16" customWidth="1" min="5" max="5"/>
    <col width="12" customWidth="1" min="6" max="6"/>
    <col width="21" customWidth="1" min="7" max="7"/>
    <col width="19" customWidth="1" min="8" max="8"/>
    <col width="40" customWidth="1" min="13" max="13"/>
    <col width="40" customWidth="1" min="14" max="14"/>
    <col width="40" customWidth="1" min="15" max="15"/>
  </cols>
  <sheetData>
    <row r="1" ht="36.75" customHeight="1">
      <c r="A1" s="57" t="inlineStr"/>
      <c r="B1" s="142" t="n"/>
      <c r="C1" s="57" t="inlineStr">
        <is>
          <t>Metadata</t>
        </is>
      </c>
      <c r="D1" s="141" t="n"/>
      <c r="E1" s="141" t="n"/>
      <c r="F1" s="142" t="n"/>
      <c r="G1" s="57" t="inlineStr">
        <is>
          <t>Scenario Definition</t>
        </is>
      </c>
      <c r="H1" s="141" t="n"/>
      <c r="I1" s="141" t="n"/>
      <c r="J1" s="141" t="n"/>
      <c r="K1" s="141" t="n"/>
      <c r="L1" s="142" t="n"/>
      <c r="M1" s="57" t="inlineStr">
        <is>
          <t>Architecture Notes</t>
        </is>
      </c>
      <c r="N1" s="141" t="n"/>
      <c r="O1" s="142" t="n"/>
    </row>
    <row r="2" ht="90" customHeight="1">
      <c r="A2" s="57" t="inlineStr">
        <is>
          <t>Código Escenario</t>
        </is>
      </c>
      <c r="B2" s="57" t="inlineStr">
        <is>
          <t>Nombre</t>
        </is>
      </c>
      <c r="C2" s="57" t="inlineStr">
        <is>
          <t>Quality Attribute</t>
        </is>
      </c>
      <c r="D2" s="57" t="inlineStr">
        <is>
          <t>Priority</t>
        </is>
      </c>
      <c r="E2" s="57" t="inlineStr">
        <is>
          <t>Difficulty / Risk</t>
        </is>
      </c>
      <c r="F2" s="57" t="inlineStr">
        <is>
          <t>Status</t>
        </is>
      </c>
      <c r="G2" s="57" t="inlineStr">
        <is>
          <t>Fuente del estímulo</t>
        </is>
      </c>
      <c r="H2" s="57" t="inlineStr">
        <is>
          <t>Estímulo</t>
        </is>
      </c>
      <c r="I2" s="57" t="inlineStr">
        <is>
          <t>Ambiente</t>
        </is>
      </c>
      <c r="J2" s="57" t="inlineStr">
        <is>
          <t>Artefacto</t>
        </is>
      </c>
      <c r="K2" s="57" t="inlineStr">
        <is>
          <t>Respuesta</t>
        </is>
      </c>
      <c r="L2" s="57" t="inlineStr">
        <is>
          <t>Métrica</t>
        </is>
      </c>
      <c r="M2" s="57" t="inlineStr">
        <is>
          <t>Business Rationale</t>
        </is>
      </c>
      <c r="N2" s="57" t="inlineStr">
        <is>
          <t>Architectural Tactics</t>
        </is>
      </c>
      <c r="O2" s="57" t="inlineStr">
        <is>
          <t>Assumptions &amp; Risks</t>
        </is>
      </c>
    </row>
    <row r="3" ht="86.40000000000001" customHeight="1">
      <c r="A3" s="133" t="inlineStr">
        <is>
          <t>ESC-CAL-SEG-0002</t>
        </is>
      </c>
      <c r="B3" s="69" t="inlineStr">
        <is>
          <t>Si un usuario deja su sesión abierta durante un periodo prolongado de inactividad, el sistema debe evitar que otra persona pueda continuar utilizando indefinidamente esa sesión</t>
        </is>
      </c>
      <c r="C3" s="133" t="n"/>
      <c r="D3" s="133" t="n"/>
      <c r="E3" s="133" t="n"/>
      <c r="F3" s="133" t="n"/>
      <c r="G3" s="6" t="inlineStr">
        <is>
          <t>Un usuario</t>
        </is>
      </c>
      <c r="H3" s="68" t="inlineStr">
        <is>
          <t>El usuario permanece inactivo en la plataforma durante un periodo de timepo sin realizar ninguna accion</t>
        </is>
      </c>
      <c r="I3" s="68" t="inlineStr">
        <is>
          <t>Operación activa de la plataforma con una sesion de usuario abierta</t>
        </is>
      </c>
      <c r="J3" s="68" t="inlineStr">
        <is>
          <t>Modulo de gestion de sesiones del sistema</t>
        </is>
      </c>
      <c r="K3" s="68" t="inlineStr">
        <is>
          <t xml:space="preserve">El sistema detecta inactividad prolongada y cierra automaticamente la sesion </t>
        </is>
      </c>
      <c r="L3" s="68" t="inlineStr">
        <is>
          <t>Todas las sesiones inactivas se cierran automaticamente al superar un timepo de inactividad definido</t>
        </is>
      </c>
      <c r="M3" s="133" t="n"/>
      <c r="N3" s="133" t="n"/>
      <c r="O3" s="133" t="n"/>
    </row>
    <row r="4" ht="144" customHeight="1">
      <c r="A4" s="132" t="inlineStr">
        <is>
          <t>ESC-CAL-SEG-0004</t>
        </is>
      </c>
      <c r="B4" s="132" t="inlineStr">
        <is>
          <t>El sistema debe impedir que usuarios no autorizados accedan o modifiquen información y recursos que no les pertenecen</t>
        </is>
      </c>
      <c r="C4" s="133" t="n"/>
      <c r="D4" s="133" t="n"/>
      <c r="E4" s="133" t="n"/>
      <c r="F4" s="133" t="n"/>
      <c r="G4" s="9" t="inlineStr">
        <is>
          <t>Un usuario</t>
        </is>
      </c>
      <c r="H4" s="56" t="inlineStr">
        <is>
          <t>El usuario intenta acceder a un endpoint al que no está autorizado por medio de consola sin pasar por la interfaz de usuario</t>
        </is>
      </c>
      <c r="I4" s="56" t="inlineStr">
        <is>
          <t>Operación activa de la plataforma</t>
        </is>
      </c>
      <c r="J4" s="56" t="inlineStr">
        <is>
          <t>Módulo de autorización del sistema</t>
        </is>
      </c>
      <c r="K4" s="56" t="inlineStr">
        <is>
          <t>El sistema devuelve al usuario un error advirtiendo que no tiene permiso para hacer eso y el sistema deniega la petición</t>
        </is>
      </c>
      <c r="L4" s="56" t="inlineStr">
        <is>
          <t>El 100% de las operaciones no autorizadas se rechazan y no se modifica nada en la plataforma</t>
        </is>
      </c>
      <c r="M4" s="133" t="n"/>
      <c r="N4" s="133" t="n"/>
      <c r="O4" s="133" t="n"/>
    </row>
    <row r="5" ht="100.8" customHeight="1">
      <c r="A5" s="132" t="inlineStr">
        <is>
          <t>ESC-CAL-SEG-0007</t>
        </is>
      </c>
      <c r="B5" s="133" t="inlineStr">
        <is>
          <t>Yo como comprador quiero que mi dinero se retenga en la aplicación hasta confirmar que el encuentro fue exitoso</t>
        </is>
      </c>
      <c r="C5" s="133" t="n"/>
      <c r="D5" s="133" t="n"/>
      <c r="E5" s="133" t="n"/>
      <c r="F5" s="133" t="n"/>
      <c r="G5" s="56" t="inlineStr">
        <is>
          <t>Un usuario</t>
        </is>
      </c>
      <c r="H5" s="56" t="inlineStr">
        <is>
          <t>El usuario hace un pago para encime o compra de un producto</t>
        </is>
      </c>
      <c r="I5" s="56" t="inlineStr">
        <is>
          <t>Operación activa de la plataforma</t>
        </is>
      </c>
      <c r="J5" s="56" t="inlineStr">
        <is>
          <t>Módulo de pagos del sistema</t>
        </is>
      </c>
      <c r="K5" s="56" t="inlineStr">
        <is>
          <t>El sistema retiene el dinero en la pasarela de pagos con posibilidad de reversión en caso de que el encuentro no haya sido exitoso</t>
        </is>
      </c>
      <c r="L5" s="56" t="inlineStr">
        <is>
          <t>El sistema entrega el dinero al vendedor/persona con producto de mayor valor solamente después de una confirmación de que el encuentro se llevó a cabo exitosamente</t>
        </is>
      </c>
      <c r="M5" s="133" t="n"/>
      <c r="N5" s="133" t="n"/>
      <c r="O5" s="133" t="n"/>
    </row>
    <row r="6" ht="115.2" customHeight="1">
      <c r="A6" s="132" t="inlineStr">
        <is>
          <t>ESC-CAL-SEG-0008</t>
        </is>
      </c>
      <c r="B6" s="132" t="inlineStr">
        <is>
          <t>Las operaciones sensibles deben estar protegidas contra uso indebido, repetición y exposición de información secreta</t>
        </is>
      </c>
      <c r="C6" s="133" t="n"/>
      <c r="D6" s="133" t="n"/>
      <c r="E6" s="133" t="n"/>
      <c r="F6" s="133" t="n"/>
      <c r="G6" s="56" t="inlineStr">
        <is>
          <t>Un usuario</t>
        </is>
      </c>
      <c r="H6" s="56" t="inlineStr">
        <is>
          <t>Se intenta ejecutar una operación sensible no autorizada, repetir una solicitud ya realizada o provocar la exposicion de información secreta</t>
        </is>
      </c>
      <c r="I6" s="56" t="inlineStr">
        <is>
          <t>Operación normal y procesamiento de operaciones sensibles</t>
        </is>
      </c>
      <c r="J6" s="56" t="inlineStr">
        <is>
          <t>Controles de seguridad de autenticación, autorización y ejecución de operaciones sensibles</t>
        </is>
      </c>
      <c r="K6" s="56" t="inlineStr">
        <is>
          <t>El sistema valida autorización, evita efectos duplicados y oculta credenciales, tokens y secretos en respuestas y registros no autorizados</t>
        </is>
      </c>
      <c r="L6" s="56" t="inlineStr">
        <is>
          <t>El 100% de las solicitudes no autorizadas se rechaza y se exponen 0 secretos en las salidas evaluadas</t>
        </is>
      </c>
      <c r="M6" s="133" t="n"/>
      <c r="N6" s="133" t="n"/>
      <c r="O6" s="133" t="n"/>
    </row>
    <row r="7" ht="112.2" customHeight="1">
      <c r="A7" s="136" t="inlineStr">
        <is>
          <t>ESC-CAL-CON-0001</t>
        </is>
      </c>
      <c r="B7" s="136" t="inlineStr">
        <is>
          <t>Quiero que cuando esté haciendo una transacción y el sistema se caiga el estado de esta no se corrompa</t>
        </is>
      </c>
      <c r="C7" s="133" t="n"/>
      <c r="D7" s="133" t="n"/>
      <c r="E7" s="133" t="n"/>
      <c r="F7" s="133" t="n"/>
      <c r="G7" s="56" t="inlineStr">
        <is>
          <t>Fallas en el sistema</t>
        </is>
      </c>
      <c r="H7" s="56" t="inlineStr">
        <is>
          <t>El usuario hace un proceso de pago en una compra, propone un intercambio o acepta o rechaza una propuesta y el sistema se cae cuando se está procesando la operación</t>
        </is>
      </c>
      <c r="I7" s="56" t="inlineStr">
        <is>
          <t>Operación normal y luego falla que provoca una caída del sistema</t>
        </is>
      </c>
      <c r="J7" s="56" t="inlineStr">
        <is>
          <t>Todo el sistema</t>
        </is>
      </c>
      <c r="K7" s="56" t="inlineStr">
        <is>
          <t>El sistema deja las operaciones como estaban inmediatamente antes del fallo, con los estados correspondientes que el usuario haya seleccionado</t>
        </is>
      </c>
      <c r="L7" s="56" t="inlineStr">
        <is>
          <t>El 100% de las operaciones se mantiene con estados coherentes y fieles a las selecciones de los usuarios</t>
        </is>
      </c>
      <c r="M7" s="133" t="n"/>
      <c r="N7" s="133" t="n"/>
      <c r="O7" s="133" t="n"/>
    </row>
    <row r="8" ht="100.8" customHeight="1">
      <c r="A8" s="66" t="inlineStr">
        <is>
          <t>ESC-CAL-CON-0002</t>
        </is>
      </c>
      <c r="B8" s="85" t="inlineStr">
        <is>
          <t>Las fallas temporales no deben provocar pérdida, duplicación o corrupción de información crítica del negocio</t>
        </is>
      </c>
      <c r="C8" s="133" t="n"/>
      <c r="D8" s="133" t="n"/>
      <c r="E8" s="133" t="n"/>
      <c r="F8" s="133" t="n"/>
      <c r="G8" s="56" t="inlineStr">
        <is>
          <t>Fallas en el sistema</t>
        </is>
      </c>
      <c r="H8" s="56" t="inlineStr">
        <is>
          <t>Ocurre una falla temporal mientras se procesa informacion critica de negocio</t>
        </is>
      </c>
      <c r="I8" s="56" t="inlineStr">
        <is>
          <t>Operación normal y luego falla temporal que interrumpe el procesamineto</t>
        </is>
      </c>
      <c r="J8" s="56" t="inlineStr">
        <is>
          <t>Todo el sistema</t>
        </is>
      </c>
      <c r="K8" s="56" t="inlineStr">
        <is>
          <t>El sistema recupera su estado sin perdida, duplicacion ni corrupcion de la informacion critica una vez reestablecido el servicio</t>
        </is>
      </c>
      <c r="L8" s="56" t="inlineStr">
        <is>
          <t>Toda la informacion critica evaluada permanece integra, sin perdida ni duplicacion despues de una falla temporal</t>
        </is>
      </c>
      <c r="M8" s="133" t="n"/>
      <c r="N8" s="133" t="n"/>
      <c r="O8" s="133" t="n"/>
    </row>
    <row r="9" ht="72" customHeight="1">
      <c r="A9" s="136" t="inlineStr">
        <is>
          <t>ESC-CAL-CON-0005</t>
        </is>
      </c>
      <c r="B9" s="136" t="inlineStr">
        <is>
          <t>Una notificación de pago recibida dos veces no produce dos efectos económicos</t>
        </is>
      </c>
      <c r="C9" s="133" t="n"/>
      <c r="D9" s="133" t="n"/>
      <c r="E9" s="133" t="n"/>
      <c r="F9" s="133" t="n"/>
      <c r="G9" s="56" t="inlineStr">
        <is>
          <t>Proveedor de pagos</t>
        </is>
      </c>
      <c r="H9" s="56" t="inlineStr">
        <is>
          <t xml:space="preserve">Envia dos o mas veces la misma notificación válida correspondiente a una única operación </t>
        </is>
      </c>
      <c r="I9" s="56" t="inlineStr">
        <is>
          <t xml:space="preserve">Operación normal </t>
        </is>
      </c>
      <c r="J9" s="56" t="inlineStr">
        <is>
          <t>Integración de pagos</t>
        </is>
      </c>
      <c r="K9" s="56" t="inlineStr">
        <is>
          <t>El sistema reconoce que la notificación ya fue procesada y evita ejecutar nuevamente el efecto económico asociado</t>
        </is>
      </c>
      <c r="L9" s="56" t="inlineStr">
        <is>
          <t>Cada identificador unico de operación debe producir solo 1 efecto económico, aunque una notificación sea recibida varias veces</t>
        </is>
      </c>
      <c r="M9" s="133" t="n"/>
      <c r="N9" s="133" t="n"/>
      <c r="O9" s="133" t="n"/>
    </row>
    <row r="10" ht="86.40000000000001" customHeight="1">
      <c r="A10" s="136" t="inlineStr">
        <is>
          <t>ESC-CAL-CON-0006</t>
        </is>
      </c>
      <c r="B10" s="136" t="inlineStr">
        <is>
          <t>Si un usuario presiona varias veces el botón de confirmar una operación debido a una conexión lenta, debe producirse un único resultado válido</t>
        </is>
      </c>
      <c r="C10" s="133" t="n"/>
      <c r="D10" s="133" t="n"/>
      <c r="E10" s="133" t="n"/>
      <c r="F10" s="133" t="n"/>
      <c r="G10" s="56" t="inlineStr">
        <is>
          <t>Un usuario</t>
        </is>
      </c>
      <c r="H10" s="56" t="inlineStr">
        <is>
          <t>El usuario presiona varias veces la confirmación de la operación</t>
        </is>
      </c>
      <c r="I10" s="56" t="inlineStr">
        <is>
          <t>Operación de la plataforma con una conexión lenta del usuario</t>
        </is>
      </c>
      <c r="J10" s="56" t="inlineStr">
        <is>
          <t>Módulo de lógica de negocio</t>
        </is>
      </c>
      <c r="K10" s="56" t="inlineStr">
        <is>
          <t>El sistema confirma la petición y la ejecuta una sola vez</t>
        </is>
      </c>
      <c r="L10" s="56" t="inlineStr">
        <is>
          <t>El sistema ejecuta la petición realizada por el usuario por más que se haya tocado el botón muchas veces</t>
        </is>
      </c>
      <c r="M10" s="133" t="n"/>
      <c r="N10" s="133" t="n"/>
      <c r="O10" s="133" t="n"/>
    </row>
    <row r="11" ht="115.2" customHeight="1">
      <c r="A11" s="78" t="inlineStr">
        <is>
          <t>ESC-CAL-CON-0010</t>
        </is>
      </c>
      <c r="B11" s="78" t="inlineStr">
        <is>
          <t>Si la plataforma supera las métricas saludables de funcionamiento y se aproxima la caída del sistema, se deben realizar acciones para mitigar daños mayores</t>
        </is>
      </c>
      <c r="C11" s="133" t="n"/>
      <c r="D11" s="133" t="n"/>
      <c r="E11" s="133" t="n"/>
      <c r="F11" s="133" t="n"/>
      <c r="G11" s="79" t="inlineStr">
        <is>
          <t>Sistema</t>
        </is>
      </c>
      <c r="H11" s="79" t="inlineStr">
        <is>
          <t>Se muestran valores comprometedores de almacenamiento, rendimiento y demás componentes que apuntan a una pronta caída del sistema</t>
        </is>
      </c>
      <c r="I11" s="79" t="inlineStr">
        <is>
          <t>Operación normal</t>
        </is>
      </c>
      <c r="J11" s="79" t="inlineStr">
        <is>
          <t>Sistema completo</t>
        </is>
      </c>
      <c r="K11" s="79" t="inlineStr">
        <is>
          <t>El sistema genera una alerta y ejecuta o habilita las acciones de mitigación previstas antes de que la degradación provoque una interrupción del servicio</t>
        </is>
      </c>
      <c r="L11" s="79" t="inlineStr">
        <is>
          <t xml:space="preserve">En pruebas controladas, el 95% de las amenazas se logran controlar antes de que llegue la caída del sistema </t>
        </is>
      </c>
      <c r="M11" s="133" t="n"/>
      <c r="N11" s="133" t="n"/>
      <c r="O11" s="133" t="n"/>
    </row>
    <row r="12" ht="86.40000000000001" customHeight="1">
      <c r="A12" s="91" t="inlineStr">
        <is>
          <t>ESC-CAL-AUD-0001</t>
        </is>
      </c>
      <c r="B12" s="91" t="inlineStr">
        <is>
          <t>Puede conocerse quién realizó una acción crítica sobre una negociación</t>
        </is>
      </c>
      <c r="C12" s="133" t="n"/>
      <c r="D12" s="133" t="n"/>
      <c r="E12" s="133" t="n"/>
      <c r="F12" s="133" t="n"/>
      <c r="G12" s="56" t="inlineStr">
        <is>
          <t>Un usuario</t>
        </is>
      </c>
      <c r="H12" s="56" t="inlineStr">
        <is>
          <t xml:space="preserve">Realiza una acción que modifica el estado de una negociación </t>
        </is>
      </c>
      <c r="I12" s="56" t="inlineStr">
        <is>
          <t>Operación normal</t>
        </is>
      </c>
      <c r="J12" s="56" t="inlineStr">
        <is>
          <t>Registro de auditoría de negociaciones</t>
        </is>
      </c>
      <c r="K12" s="56" t="inlineStr">
        <is>
          <t xml:space="preserve">El sistema registra la identidad del actor, la acción realizada, la fecha y hora del resultado de la operación </t>
        </is>
      </c>
      <c r="L12" s="56" t="inlineStr">
        <is>
          <t>El 100% de las acciones críticas evaluadas contiene identificador del actor, acción, fecha/hora y resultado</t>
        </is>
      </c>
      <c r="M12" s="133" t="n"/>
      <c r="N12" s="133" t="n"/>
      <c r="O12" s="133" t="n"/>
    </row>
    <row r="13" ht="100.8" customHeight="1">
      <c r="A13" s="91" t="inlineStr">
        <is>
          <t>ESC-CAL-AUD-0003</t>
        </is>
      </c>
      <c r="B13" s="91" t="inlineStr">
        <is>
          <t>Cuando un administrador aplique una acción sobre una cuenta o publicación reportada, debe quedar evidencia de quién realizó la acción y sobre qué elemento</t>
        </is>
      </c>
      <c r="C13" s="133" t="n"/>
      <c r="D13" s="133" t="n"/>
      <c r="E13" s="133" t="n"/>
      <c r="F13" s="133" t="n"/>
      <c r="G13" s="56" t="inlineStr">
        <is>
          <t>Un administrador</t>
        </is>
      </c>
      <c r="H13" s="56" t="inlineStr">
        <is>
          <t>Aplica una medida sobre una cuenta o una publicación reportada</t>
        </is>
      </c>
      <c r="I13" s="56" t="inlineStr">
        <is>
          <t>Durante la gestión de reportes y moderación</t>
        </is>
      </c>
      <c r="J13" s="56" t="inlineStr">
        <is>
          <t xml:space="preserve">Funciones administrativas </t>
        </is>
      </c>
      <c r="K13" s="56" t="inlineStr">
        <is>
          <t>El sistema conserva evidencia del administrador que ejecutó la acción, el elemento afectado, la acción aplicada y el momento en que ocurrió</t>
        </is>
      </c>
      <c r="L13" s="56" t="inlineStr">
        <is>
          <t>El 100% de los registros auditables evaluados contienen los campos minimos definidos y se encuentran 0 contraseñas o tokens almacenados en ellos</t>
        </is>
      </c>
      <c r="M13" s="133" t="n"/>
      <c r="N13" s="133" t="n"/>
      <c r="O13" s="133" t="n"/>
    </row>
    <row r="14" ht="100.8" customHeight="1">
      <c r="A14" s="91" t="inlineStr">
        <is>
          <t>ESC-CAL-AUD-0004</t>
        </is>
      </c>
      <c r="B14" s="91" t="inlineStr">
        <is>
          <t>Cuando un administrador requiera los registros, estos deben conservan información suficiente para investigar incidentes sin almacenar innecesariamente contraseñas o secretos.</t>
        </is>
      </c>
      <c r="C14" s="133" t="n"/>
      <c r="D14" s="133" t="n"/>
      <c r="E14" s="133" t="n"/>
      <c r="F14" s="133" t="n"/>
      <c r="G14" s="56" t="inlineStr">
        <is>
          <t>Un administrador</t>
        </is>
      </c>
      <c r="H14" s="56" t="inlineStr">
        <is>
          <t>Hace una consulta de las transacciones de ciertos usuarios con los estados que estas tuvieron a lo largo del tiempo</t>
        </is>
      </c>
      <c r="I14" s="56" t="inlineStr">
        <is>
          <t>Operación normal</t>
        </is>
      </c>
      <c r="J14" s="56" t="inlineStr">
        <is>
          <t>Logs del sistema y/o acceso a conexión con base de datos</t>
        </is>
      </c>
      <c r="K14" s="56" t="inlineStr">
        <is>
          <t>El sistema devuelve al administrador los datos registrados como fecha y hora de realización, confirmación o rechazo de una propuesta</t>
        </is>
      </c>
      <c r="L14" s="56" t="inlineStr">
        <is>
          <t>El 100% de las transacciones tiene sus respectivos logs con los pasos de los estados que tuvo la transacción</t>
        </is>
      </c>
      <c r="M14" s="133" t="n"/>
      <c r="N14" s="133" t="n"/>
      <c r="O14" s="133" t="n"/>
    </row>
    <row r="15" ht="115.2" customHeight="1">
      <c r="A15" s="91" t="inlineStr">
        <is>
          <t>ESC-CAL-AUD-0008</t>
        </is>
      </c>
      <c r="B15" s="91" t="inlineStr">
        <is>
          <t>Ante una reclamación, un usuario autorizado debe poder consultar cronológicamente los eventos importantes ocurridos durante una negociación</t>
        </is>
      </c>
      <c r="C15" s="133" t="n"/>
      <c r="D15" s="133" t="n"/>
      <c r="E15" s="133" t="n"/>
      <c r="F15" s="133" t="n"/>
      <c r="G15" s="56" t="inlineStr">
        <is>
          <t>Un administrador</t>
        </is>
      </c>
      <c r="H15" s="56" t="inlineStr">
        <is>
          <t>Solicita reconstruir lo ocurrido en una negociación a raiz de una reclamación</t>
        </is>
      </c>
      <c r="I15" s="56" t="inlineStr">
        <is>
          <t>Después de que la negociación ha registrado uno o mas cambios de estado</t>
        </is>
      </c>
      <c r="J15" s="56" t="inlineStr">
        <is>
          <t xml:space="preserve">Historial de la negociación </t>
        </is>
      </c>
      <c r="K15" s="56" t="inlineStr">
        <is>
          <t xml:space="preserve">El sistema presenta eventos críticos asociados a la operación ordenados cronológicamente e identificando al actor, acción y resultado </t>
        </is>
      </c>
      <c r="L15" s="56" t="inlineStr">
        <is>
          <t>La reconstrucción contiene el 100% de los eventos críticos registrados para la operación y los presenta en orden cronológico</t>
        </is>
      </c>
      <c r="M15" s="133" t="n"/>
      <c r="N15" s="133" t="n"/>
      <c r="O15" s="133" t="n"/>
    </row>
    <row r="16" ht="115.2" customHeight="1">
      <c r="A16" s="97" t="inlineStr">
        <is>
          <t>ESC-CAL-DIS-0002</t>
        </is>
      </c>
      <c r="B16" s="97" t="inlineStr">
        <is>
          <t>Una falla temporal del servicio de correo o notificaciones no debe impedir que compradores y vendedores continúen utilizando las funciones principales del marketplace</t>
        </is>
      </c>
      <c r="C16" s="133" t="n"/>
      <c r="D16" s="133" t="n"/>
      <c r="E16" s="133" t="n"/>
      <c r="F16" s="133" t="n"/>
      <c r="G16" s="56" t="inlineStr">
        <is>
          <t xml:space="preserve">Fallas en el o los servicios de notificaciones </t>
        </is>
      </c>
      <c r="H16" s="56" t="inlineStr">
        <is>
          <t>El o los servicios de notificaciones se cae</t>
        </is>
      </c>
      <c r="I16" s="56" t="inlineStr">
        <is>
          <t>Durante una caída de el o los servicios de notificaciones del sistema</t>
        </is>
      </c>
      <c r="J16" s="56" t="inlineStr">
        <is>
          <t>El módulo de notificaciones del sistema</t>
        </is>
      </c>
      <c r="K16" s="56" t="inlineStr">
        <is>
          <t>El sistema sigue prestando todos los demás servicios como acceso a publicaciones, compras, intercambios, chat y transacciones</t>
        </is>
      </c>
      <c r="L16" s="56" t="inlineStr">
        <is>
          <t>El 100% de los servicios externos que no dependen de las notificaciones siguen funcionando aunque este servcio esté caído</t>
        </is>
      </c>
      <c r="M16" s="133" t="n"/>
      <c r="N16" s="133" t="n"/>
      <c r="O16" s="133" t="n"/>
    </row>
    <row r="17" ht="115.2" customHeight="1">
      <c r="A17" s="97" t="inlineStr">
        <is>
          <t>ESC-CAL-DIS-0005</t>
        </is>
      </c>
      <c r="B17" s="46" t="inlineStr">
        <is>
          <t>Si un servicio crítico deja de responder, la plataforma informa la falta de servicio sin dejar al usuario en una pantalla bloqueada indefinidamente</t>
        </is>
      </c>
      <c r="C17" s="133" t="n"/>
      <c r="D17" s="133" t="n"/>
      <c r="E17" s="133" t="n"/>
      <c r="F17" s="133" t="n"/>
      <c r="G17" s="56" t="inlineStr">
        <is>
          <t>Servicio crítico</t>
        </is>
      </c>
      <c r="H17" s="56" t="inlineStr">
        <is>
          <t>No responde dentro del tiempo esperado</t>
        </is>
      </c>
      <c r="I17" s="56" t="inlineStr">
        <is>
          <t>Operación normal con indisponibilidad parcial</t>
        </is>
      </c>
      <c r="J17" s="60" t="inlineStr">
        <is>
          <t>Flujo que depende del servicio y su interfaz con el usuario</t>
        </is>
      </c>
      <c r="K17" s="56" t="inlineStr">
        <is>
          <t>El sistema finaliza la espera de forma controlada, informa que la función no está disponible y permite al usuario salir, reintentar o continuar con las funciones no afectadas</t>
        </is>
      </c>
      <c r="L17" s="56" t="inlineStr">
        <is>
          <t>El 100% de los timeouts simulados termina con una respuesta controlada y se presentan 0 pantallas bloqueadas indefinidamente</t>
        </is>
      </c>
      <c r="M17" s="133" t="n"/>
      <c r="N17" s="133" t="n"/>
      <c r="O17" s="133" t="n"/>
    </row>
    <row r="18" ht="129.6" customHeight="1">
      <c r="A18" s="97" t="inlineStr">
        <is>
          <t>ESC-CAL-DIS-0006</t>
        </is>
      </c>
      <c r="B18" s="97" t="inlineStr">
        <is>
          <t>Quiero que el sistema siga funcionando, aunque se metan funcionalidades nuevas cada cierto tiempo</t>
        </is>
      </c>
      <c r="C18" s="133" t="n"/>
      <c r="D18" s="133" t="n"/>
      <c r="E18" s="133" t="n"/>
      <c r="F18" s="133" t="n"/>
      <c r="G18" s="56" t="inlineStr">
        <is>
          <t>Equipo de desarrollo</t>
        </is>
      </c>
      <c r="H18" s="56" t="inlineStr">
        <is>
          <t>Despliega una nueva versión que incorpora o modifica funcionalidades</t>
        </is>
      </c>
      <c r="I18" s="56" t="inlineStr">
        <is>
          <t>Actualización planificada de la plataforma en producción</t>
        </is>
      </c>
      <c r="J18" s="56" t="inlineStr">
        <is>
          <t>Plataforma y sus flujos principales existentes</t>
        </is>
      </c>
      <c r="K18" s="56" t="inlineStr">
        <is>
          <t>El sistema incorpora la nueva versión manteniendo operativas las funcionalidades no afectadas y sin introducir fallos en los flujos principales existentes</t>
        </is>
      </c>
      <c r="L18" s="56" t="inlineStr">
        <is>
          <t xml:space="preserve">Después del despliegue, el 100% de los flujos críticos incluidos en la prueba de regresión continúa funcionando y se producen 0 interrupciones </t>
        </is>
      </c>
      <c r="M18" s="133" t="n"/>
      <c r="N18" s="133" t="n"/>
      <c r="O18" s="133" t="n"/>
    </row>
    <row r="19" ht="115.2" customHeight="1">
      <c r="A19" s="67" t="inlineStr">
        <is>
          <t>ESC-CAL-USA-0004</t>
        </is>
      </c>
      <c r="B19" s="98" t="inlineStr">
        <is>
          <t>Cuando un usuario complete correctamente una operación, la interfaz debe indicarle inmediatamente que la acción fue realizada con éxito</t>
        </is>
      </c>
      <c r="C19" s="133" t="n"/>
      <c r="D19" s="133" t="n"/>
      <c r="E19" s="133" t="n"/>
      <c r="F19" s="133" t="n"/>
      <c r="G19" s="68" t="inlineStr">
        <is>
          <t>Un usuario</t>
        </is>
      </c>
      <c r="H19" s="68" t="inlineStr">
        <is>
          <t>Completa correctamente una operación dentro de la plataforma</t>
        </is>
      </c>
      <c r="I19" s="68" t="inlineStr">
        <is>
          <t>Operación normal de la plataforma</t>
        </is>
      </c>
      <c r="J19" s="68" t="inlineStr">
        <is>
          <t xml:space="preserve">Interfaz donde se ejecuta la operación </t>
        </is>
      </c>
      <c r="K19" s="68" t="inlineStr">
        <is>
          <t>El sistema muestra inmediatamente un mensaje o indicador visual confirmando que la accion se realizo con éxito</t>
        </is>
      </c>
      <c r="L19" s="68" t="inlineStr">
        <is>
          <t>El 100% de las operaciones completadas exitosamente muestran una confirmacion visible en un tiempo aproximado de 4 segundos</t>
        </is>
      </c>
      <c r="M19" s="133" t="n"/>
      <c r="N19" s="133" t="n"/>
      <c r="O19" s="133" t="n"/>
    </row>
    <row r="20" ht="129.6" customHeight="1">
      <c r="A20" s="140" t="inlineStr">
        <is>
          <t>ESC-CAL-USA-0005</t>
        </is>
      </c>
      <c r="B20" s="140" t="inlineStr">
        <is>
          <t>El usuario debe poder identificar fácilmente en qué estado se encuentra una negociación sin tener que recordar las acciones realizadas anteriormente</t>
        </is>
      </c>
      <c r="C20" s="133" t="n"/>
      <c r="D20" s="133" t="n"/>
      <c r="E20" s="133" t="n"/>
      <c r="F20" s="133" t="n"/>
      <c r="G20" s="56" t="inlineStr">
        <is>
          <t>Un usuario</t>
        </is>
      </c>
      <c r="H20" s="56" t="inlineStr">
        <is>
          <t>Accede a la información de una operación para verificar su estado</t>
        </is>
      </c>
      <c r="I20" s="56" t="inlineStr">
        <is>
          <t>Operación normal del sistema</t>
        </is>
      </c>
      <c r="J20" s="56" t="inlineStr">
        <is>
          <t>Módulo encargado de brindar información sobre las operaciones del mismo usuario</t>
        </is>
      </c>
      <c r="K20" s="56" t="inlineStr">
        <is>
          <t>El sistema muestra los estados de las operaciones consistentemente con colores ilustrativos que reflejen el estado de la operación</t>
        </is>
      </c>
      <c r="L20" s="56" t="inlineStr">
        <is>
          <t>Una cantidad de usuarios mayor o igual al 90% identifica si la propuesta ha sido rechazada, aceptada, finalizada u otro estado de la operación</t>
        </is>
      </c>
      <c r="M20" s="133" t="n"/>
      <c r="N20" s="133" t="n"/>
      <c r="O20" s="133" t="n"/>
    </row>
    <row r="21" ht="86.40000000000001" customHeight="1">
      <c r="A21" s="140" t="inlineStr">
        <is>
          <t>ESC-CAL-USA-0006</t>
        </is>
      </c>
      <c r="B21" s="140" t="inlineStr">
        <is>
          <t>Al realizar una propuesta de intercambio, debe diferenciarse claramente qué producto entrega cada persona y qué producto recibirá</t>
        </is>
      </c>
      <c r="C21" s="133" t="n"/>
      <c r="D21" s="133" t="n"/>
      <c r="E21" s="133" t="n"/>
      <c r="F21" s="133" t="n"/>
      <c r="G21" s="56" t="inlineStr">
        <is>
          <t>Un usuario</t>
        </is>
      </c>
      <c r="H21" s="56" t="inlineStr">
        <is>
          <t>Consulta o prepara una propuesta para decidir si continuar con la negociación</t>
        </is>
      </c>
      <c r="I21" s="56" t="inlineStr">
        <is>
          <t>Durante una propuesta o contraoferta activa</t>
        </is>
      </c>
      <c r="J21" s="56" t="inlineStr">
        <is>
          <t>Interfaz de propuestas y contraofertas</t>
        </is>
      </c>
      <c r="K21" s="56" t="inlineStr">
        <is>
          <t>El sistema diferencia visual y textualmente qué entrega cada parte, qué recibe y el dinero adicional involucrado cuando aplique</t>
        </is>
      </c>
      <c r="L21" s="56" t="inlineStr">
        <is>
          <t>Al menos el 90% de los usuarios evaluados identifica correctamente qué entrega, qué recibe y si existe dinero adicional antes de  confirmar la propuesta</t>
        </is>
      </c>
      <c r="M21" s="133" t="n"/>
      <c r="N21" s="133" t="n"/>
      <c r="O21" s="133" t="n"/>
    </row>
    <row r="22" ht="100.8" customHeight="1">
      <c r="A22" s="140" t="inlineStr">
        <is>
          <t>ESC-CAL-USA-0009</t>
        </is>
      </c>
      <c r="B22" s="140" t="inlineStr">
        <is>
          <t>Los mensajes de error deben ser suficientemente claros para los usuarios, con descripciones que realmente hagan entender al usuario qué provocó el error</t>
        </is>
      </c>
      <c r="C22" s="133" t="n"/>
      <c r="D22" s="133" t="n"/>
      <c r="E22" s="133" t="n"/>
      <c r="F22" s="133" t="n"/>
      <c r="G22" s="56" t="inlineStr">
        <is>
          <t>Un usuario</t>
        </is>
      </c>
      <c r="H22" s="56" t="inlineStr">
        <is>
          <t>Comete un error de entrada o ejecuta una acción que no puede completarse</t>
        </is>
      </c>
      <c r="I22" s="56" t="inlineStr">
        <is>
          <t>Uso normal de formularios y flujos interactivos</t>
        </is>
      </c>
      <c r="J22" s="56" t="inlineStr">
        <is>
          <t>Interfaz donde se produce el error</t>
        </is>
      </c>
      <c r="K22" s="56" t="inlineStr">
        <is>
          <t>El sistema explica el problema en lenguaje natural, identifica qué debe corregirse y orienta al usuario sobre como continuar</t>
        </is>
      </c>
      <c r="L22" s="56" t="inlineStr">
        <is>
          <t>Al menos el 90% de los usuarios evaluados identifica la causa y corrige el error sin asistencia</t>
        </is>
      </c>
      <c r="M22" s="133" t="n"/>
      <c r="N22" s="133" t="n"/>
      <c r="O22" s="133" t="n"/>
    </row>
    <row r="23" ht="115.2" customHeight="1">
      <c r="A23" s="140" t="inlineStr">
        <is>
          <t>ESC-CAL-USA-0013</t>
        </is>
      </c>
      <c r="B23" s="140" t="inlineStr">
        <is>
          <t>Los flujos principales deben ser comprensibles para usuarios con distintos niveles de experiencia digital y mostrar con claridad qué está ocurriendo</t>
        </is>
      </c>
      <c r="C23" s="133" t="n"/>
      <c r="D23" s="133" t="n"/>
      <c r="E23" s="133" t="n"/>
      <c r="F23" s="133" t="n"/>
      <c r="G23" s="56" t="inlineStr">
        <is>
          <t>Un usuario</t>
        </is>
      </c>
      <c r="H23" s="56" t="inlineStr">
        <is>
          <t>Intenta completar uno de los flujos principales de la plataforma</t>
        </is>
      </c>
      <c r="I23" s="56" t="inlineStr">
        <is>
          <t>Primera utilización bajo condiciones normales de operación</t>
        </is>
      </c>
      <c r="J23" s="56" t="inlineStr">
        <is>
          <t>Interfaces de los flujos principales de la plataforma</t>
        </is>
      </c>
      <c r="K23" s="56" t="inlineStr">
        <is>
          <t>El sistema presenta instrucciones, opciones y retroalimentación suficientes para que el usuario comprenda qué ocurre y pueda avanzar por el flujo</t>
        </is>
      </c>
      <c r="L23" s="56" t="inlineStr">
        <is>
          <t>Al menos el 90% de los usuarios representativos completa correctamente el flujo principal evaluado sin asistencia externa</t>
        </is>
      </c>
      <c r="M23" s="133" t="n"/>
      <c r="N23" s="133" t="n"/>
      <c r="O23" s="133" t="n"/>
    </row>
    <row r="24" ht="100.8" customHeight="1">
      <c r="A24" s="140" t="inlineStr">
        <is>
          <t>ESC-CAL-USA-0015</t>
        </is>
      </c>
      <c r="B24" s="140" t="inlineStr">
        <is>
          <t>Antes de confirmar una compra, intercambio o acción importante, el usuario debe comprender claramente qué ocurrirá después de confirmar</t>
        </is>
      </c>
      <c r="C24" s="133" t="n"/>
      <c r="D24" s="133" t="n"/>
      <c r="E24" s="133" t="n"/>
      <c r="F24" s="133" t="n"/>
      <c r="G24" s="56" t="inlineStr">
        <is>
          <t>Un usuario</t>
        </is>
      </c>
      <c r="H24" s="56" t="inlineStr">
        <is>
          <t>Va a confirmar una compra o intercambio</t>
        </is>
      </c>
      <c r="I24" s="56" t="inlineStr">
        <is>
          <t>Operación normal de la plataforma</t>
        </is>
      </c>
      <c r="J24" s="56" t="inlineStr">
        <is>
          <t>El módulo de lógica de negocio</t>
        </is>
      </c>
      <c r="K24" s="56" t="inlineStr">
        <is>
          <t xml:space="preserve">El sistema muestra una ventana de confirmación al confirmar una compra o un intercambio con un mensaje </t>
        </is>
      </c>
      <c r="L24" s="56" t="inlineStr">
        <is>
          <t>Al menos el 90% de los usuarios debe comprender qué está aceptando en una compra/intercambio y cuál es el siguiente paso a seguir en la negociación</t>
        </is>
      </c>
      <c r="M24" s="133" t="n"/>
      <c r="N24" s="133" t="n"/>
      <c r="O24" s="133" t="n"/>
    </row>
    <row r="25" ht="100.8" customHeight="1">
      <c r="A25" s="48" t="inlineStr">
        <is>
          <t>ESC-CAL-ESC-0003</t>
        </is>
      </c>
      <c r="B25" s="48" t="inlineStr">
        <is>
          <t>Quiero que si hay mucha gente comprando en un pico específico de tráfico como un Black Friday o navidad la plataforma no se caiga</t>
        </is>
      </c>
      <c r="C25" s="133" t="n"/>
      <c r="D25" s="133" t="n"/>
      <c r="E25" s="133" t="n"/>
      <c r="F25" s="133" t="n"/>
      <c r="G25" s="56" t="inlineStr">
        <is>
          <t>Varios usuarios</t>
        </is>
      </c>
      <c r="H25" s="56" t="inlineStr">
        <is>
          <t>Genera un pico de solicitudes por una fecha o evento de alta demanda, como Black Friday o temporada navideña</t>
        </is>
      </c>
      <c r="I25" s="56" t="inlineStr">
        <is>
          <t xml:space="preserve">Periodo de demanda significativamente superior a la operación habitual </t>
        </is>
      </c>
      <c r="J25" s="56" t="inlineStr">
        <is>
          <t>Plataforma y recursos que atienden a las solicitudes</t>
        </is>
      </c>
      <c r="K25" s="56" t="inlineStr">
        <is>
          <t>El sistema absorbe el incremento de carga o degrada de forma controlada sin producir una caída general de la plataforma</t>
        </is>
      </c>
      <c r="L25" s="56" t="inlineStr">
        <is>
          <t>En la prueba de carga con el volumen pico objetivo, la plataforma presenta 0 caídas generales y mantiene operativos los flujos críticos</t>
        </is>
      </c>
      <c r="M25" s="133" t="n"/>
      <c r="N25" s="133" t="n"/>
      <c r="O25" s="133" t="n"/>
    </row>
    <row r="26" ht="100.8" customHeight="1">
      <c r="A26" s="49" t="inlineStr">
        <is>
          <t>ESC-CAL-REN-0001</t>
        </is>
      </c>
      <c r="B26" s="49" t="inlineStr">
        <is>
          <t>Quiero que si el número de usuarios diarios sube mucho la plataforma siga demorando menos de 3s al realizar cualquier operación</t>
        </is>
      </c>
      <c r="C26" s="133" t="n"/>
      <c r="D26" s="133" t="n"/>
      <c r="E26" s="133" t="n"/>
      <c r="F26" s="133" t="n"/>
      <c r="G26" s="56" t="inlineStr">
        <is>
          <t>Usuarios concurrentes</t>
        </is>
      </c>
      <c r="H26" s="56" t="inlineStr">
        <is>
          <t>Aumentan considerablemente el número de solicitudes realizadas sobre las funcionalidades principales</t>
        </is>
      </c>
      <c r="I26" s="56" t="inlineStr">
        <is>
          <t>Periodo de alta carga dentro del volumen objetivo definido para la prueba</t>
        </is>
      </c>
      <c r="J26" s="56" t="inlineStr">
        <is>
          <t>Operaciones principales de la plataforma</t>
        </is>
      </c>
      <c r="K26" s="56" t="inlineStr">
        <is>
          <t>El sistema procesa las solicitudes sin superar el tiempo de respuesta establecido para las operaciones principales</t>
        </is>
      </c>
      <c r="L26" s="56" t="inlineStr">
        <is>
          <t>Las operaciones principales evaluadas responden en un tiempo menor o igual a 3 segundos bajo la carga objetivo demanda</t>
        </is>
      </c>
      <c r="M26" s="133" t="n"/>
      <c r="N26" s="133" t="n"/>
      <c r="O26" s="133" t="n"/>
    </row>
    <row r="27" ht="86.40000000000001" customHeight="1">
      <c r="A27" s="49" t="inlineStr">
        <is>
          <t>ESC-CAL-REN-0004</t>
        </is>
      </c>
      <c r="B27" s="49" t="inlineStr">
        <is>
          <t>Quiero que los usuarios no tengan congelamientos en pantallas que tengan muchas imágenes o contenido</t>
        </is>
      </c>
      <c r="C27" s="133" t="n"/>
      <c r="D27" s="133" t="n"/>
      <c r="E27" s="133" t="n"/>
      <c r="F27" s="133" t="n"/>
      <c r="G27" s="56" t="inlineStr">
        <is>
          <t>Un usuario</t>
        </is>
      </c>
      <c r="H27" s="56" t="inlineStr">
        <is>
          <t>Entra a la pantalla principal o entra a una publicación específica</t>
        </is>
      </c>
      <c r="I27" s="56" t="inlineStr">
        <is>
          <t>Operación normal de la plataforma</t>
        </is>
      </c>
      <c r="J27" s="56" t="inlineStr">
        <is>
          <t>Funcionalidades encargadas de mostrar las publicaciones con sus detalles</t>
        </is>
      </c>
      <c r="K27" s="56" t="inlineStr">
        <is>
          <t xml:space="preserve">El sistema muestra todos los datos configurados para verse de la publicación como imágenes, descrpición, título de la forma en que fue diseñado </t>
        </is>
      </c>
      <c r="L27" s="56" t="inlineStr">
        <is>
          <t xml:space="preserve">El sistema responde a clicks en publicaciones en un tiempo menor o igual a 3s </t>
        </is>
      </c>
      <c r="M27" s="133" t="n"/>
      <c r="N27" s="133" t="n"/>
      <c r="O27" s="133" t="n"/>
    </row>
    <row r="28" ht="100.8" customHeight="1">
      <c r="A28" s="49" t="inlineStr">
        <is>
          <t>ESC-CAL-REN-0010</t>
        </is>
      </c>
      <c r="B28" s="49" t="inlineStr">
        <is>
          <t>Los mensajes enviados durante una negociación aparecen en 2s máximo para la otra parte</t>
        </is>
      </c>
      <c r="C28" s="133" t="n"/>
      <c r="D28" s="133" t="n"/>
      <c r="E28" s="133" t="n"/>
      <c r="F28" s="133" t="n"/>
      <c r="G28" s="56" t="inlineStr">
        <is>
          <t>Un usuario</t>
        </is>
      </c>
      <c r="H28" s="56" t="inlineStr">
        <is>
          <t>Envía un mensaje a la otra parte mediante el chat</t>
        </is>
      </c>
      <c r="I28" s="56" t="inlineStr">
        <is>
          <t>Negociación activa y operación normal</t>
        </is>
      </c>
      <c r="J28" s="56" t="inlineStr">
        <is>
          <t>Servicio e interfaz de mensajería de la plataforma</t>
        </is>
      </c>
      <c r="K28" s="56" t="inlineStr">
        <is>
          <t>El sistema procesa el mensaje y lo pone a disposición del destinatario actualizando la conversación</t>
        </is>
      </c>
      <c r="L28" s="56" t="inlineStr">
        <is>
          <t>El mensaje aparece disponible para la otra parte en un tiempo máximo de 2 segundos desde su envío</t>
        </is>
      </c>
      <c r="M28" s="133" t="n"/>
      <c r="N28" s="133" t="n"/>
      <c r="O28" s="133" t="n"/>
    </row>
    <row r="29">
      <c r="A29" s="50" t="inlineStr">
        <is>
          <t>ESC-CAL-CAP-0006</t>
        </is>
      </c>
      <c r="B29" s="50" t="inlineStr">
        <is>
          <t>El sistema debe identificar cuando se aproxima a ciertos limites operativos antes de llegar a un punto de saturación</t>
        </is>
      </c>
      <c r="C29" s="133" t="n"/>
      <c r="D29" s="133" t="n"/>
      <c r="E29" s="133" t="n"/>
      <c r="F29" s="133" t="n"/>
      <c r="G29" s="56" t="inlineStr">
        <is>
          <t>Muchos usuarios utilizando el sistema</t>
        </is>
      </c>
      <c r="H29" s="56" t="inlineStr">
        <is>
          <t>Se aproxima a uno de los limites operativos configurados para la plataforma</t>
        </is>
      </c>
      <c r="I29" s="56" t="inlineStr">
        <is>
          <t xml:space="preserve">Alta carga de procesamiento o almacenamiento </t>
        </is>
      </c>
      <c r="J29" s="56" t="inlineStr">
        <is>
          <t>Mecanismos de monitoreo</t>
        </is>
      </c>
      <c r="K29" s="56" t="inlineStr">
        <is>
          <t>El sistema detecta que se está utilizando una gran cantidad de recursos del servidor y manda una alerta a los administradores</t>
        </is>
      </c>
      <c r="L29" s="56" t="inlineStr">
        <is>
          <t>El 100% de los umbrales operativos configurados y probados envía una alerta antes de alcanzar el nivel de saturación asociado</t>
        </is>
      </c>
      <c r="M29" s="133" t="n"/>
      <c r="N29" s="133" t="n"/>
      <c r="O29" s="133" t="n"/>
    </row>
  </sheetData>
  <mergeCells count="4">
    <mergeCell ref="G1:L1"/>
    <mergeCell ref="C1:F1"/>
    <mergeCell ref="M1:O1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Samuel Garzon Ocampo</dc:creator>
  <dcterms:created xmlns:dcterms="http://purl.org/dc/terms/" xmlns:xsi="http://www.w3.org/2001/XMLSchema-instance" xsi:type="dcterms:W3CDTF">2026-08-19T23:34:26Z</dcterms:created>
  <dcterms:modified xmlns:dcterms="http://purl.org/dc/terms/" xmlns:xsi="http://www.w3.org/2001/XMLSchema-instance" xsi:type="dcterms:W3CDTF">2026-08-29T21:16:33Z</dcterms:modified>
  <cp:lastModifiedBy>Osval Ricardo Arrieta Garcia</cp:lastModifiedBy>
</cp:coreProperties>
</file>