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03c79b2ae2760db/Escritorio/Ingeniería del Software 2/Drivers Arquitectónicos DAZMA/"/>
    </mc:Choice>
  </mc:AlternateContent>
  <xr:revisionPtr revIDLastSave="0" documentId="8_{750CEF3F-B2A5-41AB-B1CE-6CC4991B2612}" xr6:coauthVersionLast="47" xr6:coauthVersionMax="47" xr10:uidLastSave="{00000000-0000-0000-0000-000000000000}"/>
  <bookViews>
    <workbookView xWindow="-120" yWindow="-120" windowWidth="29040" windowHeight="15720" activeTab="2" xr2:uid="{5D080437-7ECE-4BA6-99E0-561275F2572B}"/>
  </bookViews>
  <sheets>
    <sheet name="Tradeoff" sheetId="1" r:id="rId1"/>
    <sheet name="Priorización" sheetId="2" r:id="rId2"/>
    <sheet name="Lluvia de Escenarios" sheetId="4" r:id="rId3"/>
    <sheet name="Escenarios de Calidad escogidos" sheetId="5" r:id="rId4"/>
    <sheet name="Escenarios de Calidad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80" i="4" l="1"/>
  <c r="G102" i="4"/>
  <c r="H102" i="4"/>
  <c r="F102" i="4"/>
  <c r="D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F13" i="2"/>
  <c r="F2" i="2"/>
  <c r="F3" i="2"/>
  <c r="F4" i="2"/>
  <c r="F5" i="2"/>
  <c r="F6" i="2"/>
  <c r="F7" i="2"/>
  <c r="F8" i="2"/>
  <c r="F9" i="2"/>
  <c r="F10" i="2"/>
  <c r="F11" i="2"/>
  <c r="F12" i="2"/>
  <c r="E3" i="2"/>
  <c r="E4" i="2"/>
  <c r="E13" i="2" s="1"/>
  <c r="E5" i="2"/>
  <c r="E6" i="2"/>
  <c r="E7" i="2"/>
  <c r="E8" i="2"/>
  <c r="E9" i="2"/>
  <c r="E10" i="2"/>
  <c r="E11" i="2"/>
  <c r="E12" i="2"/>
  <c r="E2" i="2"/>
  <c r="D13" i="2"/>
  <c r="C13" i="2"/>
  <c r="B13" i="2"/>
  <c r="I102" i="4" l="1"/>
</calcChain>
</file>

<file path=xl/sharedStrings.xml><?xml version="1.0" encoding="utf-8"?>
<sst xmlns="http://schemas.openxmlformats.org/spreadsheetml/2006/main" count="683" uniqueCount="476">
  <si>
    <t>Disponibilidad</t>
  </si>
  <si>
    <t>Rendimiento</t>
  </si>
  <si>
    <t>Escalabilidad</t>
  </si>
  <si>
    <t>Seguridad</t>
  </si>
  <si>
    <t>Usabilidad UX</t>
  </si>
  <si>
    <t>Confiabilidad</t>
  </si>
  <si>
    <t>Accesibilidad</t>
  </si>
  <si>
    <t>Interoperabilidad</t>
  </si>
  <si>
    <t>Portabilidad</t>
  </si>
  <si>
    <t>Capacidad para ser auditado</t>
  </si>
  <si>
    <t>Capacidad</t>
  </si>
  <si>
    <t>&lt;&lt;&lt;&lt;+++++Prioridad---------&gt;&gt;&gt;&gt;</t>
  </si>
  <si>
    <t>Atributo de Calidad</t>
  </si>
  <si>
    <t>X</t>
  </si>
  <si>
    <t>Administrador</t>
  </si>
  <si>
    <t>Vendedor</t>
  </si>
  <si>
    <t>Comprador</t>
  </si>
  <si>
    <t>Total de votos</t>
  </si>
  <si>
    <t>Ponderador global</t>
  </si>
  <si>
    <t>Atributo de calidad</t>
  </si>
  <si>
    <t>Qué ven</t>
  </si>
  <si>
    <t>Cómo se sienten los stakeholders</t>
  </si>
  <si>
    <t>que oyen</t>
  </si>
  <si>
    <t>Qué dicen y qué hacen</t>
  </si>
  <si>
    <t>Las operaciones sensibles deben estar protegidas contra uso indebido, repetición y exposición de información secreta</t>
  </si>
  <si>
    <t>El sistema debe impedir que usuarios no autorizados accedan o modifiquen información y recursos que no les pertenecen</t>
  </si>
  <si>
    <t>Las fallas temporales no deben provocar pérdida, duplicación o corrupción de información crítica del negocio</t>
  </si>
  <si>
    <t>El sistema debe conservar estados coherentes y evitar que una misma operación crítica se ejecute más de una vez</t>
  </si>
  <si>
    <t>x</t>
  </si>
  <si>
    <t>Los registros utilizados como evidencia deben protegerse contra modificaciones indebidas y evitar almacenar secretos innecesarios</t>
  </si>
  <si>
    <t>Los flujos principales deben ser comprensibles para usuarios con distintos niveles de experiencia digital y mostrar con claridad qué está ocurriendo</t>
  </si>
  <si>
    <t xml:space="preserve">Capacidad </t>
  </si>
  <si>
    <t>Quiero que si el número de usuarios diarios sube mucho la plataforma siga demorando menos de 3s al realizar cualquier operación</t>
  </si>
  <si>
    <t>Quiero que los usuarios no tengan congelamientos en pantallas que tengan muchas imágenes o contenido</t>
  </si>
  <si>
    <t>Los colores de la interfaz deben facilitarle la búsqueda de opciones al usuario y el tamaño de la letra suficientemente grande para que público de todas las edades acceda cómodamente a la información</t>
  </si>
  <si>
    <t>Total</t>
  </si>
  <si>
    <t>ESC-CAL-SEG-0001</t>
  </si>
  <si>
    <t>Quiero que, al olvidar la contraseña, pueda reestablecerla</t>
  </si>
  <si>
    <t>ESC-CAL-SEG-0002</t>
  </si>
  <si>
    <t>ESC-CAL-SEG-0003</t>
  </si>
  <si>
    <t>ESC-CAL-SEG-0004</t>
  </si>
  <si>
    <t>ESC-CAL-SEG-0005</t>
  </si>
  <si>
    <t>Un usuario no puede aceptar, cancelar o confirmar operaciones en las que no participa</t>
  </si>
  <si>
    <t>ESC-CAL-SEG-0006</t>
  </si>
  <si>
    <t>Las operaciones económicas requieren que el usuario se encuentre correctamente autenticado y autorizado</t>
  </si>
  <si>
    <t>ESC-CAL-SEG-0007</t>
  </si>
  <si>
    <t>Si un usuario deja su sesión abierta durante un periodo prolongado de inactividad, el sistema debe evitar que otra persona pueda continuar utilizando indefinidamente esa sesión</t>
  </si>
  <si>
    <t>ESC-CAL-SEG-0008</t>
  </si>
  <si>
    <t>Cuando un usuario cambie su contraseña, las sesiones que representen un riesgo deben poder invalidarse para evitar accesos con credenciales anteriores</t>
  </si>
  <si>
    <t>ESC-CAL-SEG-0009</t>
  </si>
  <si>
    <t>Los archivos o imágenes cargados por los usuarios deben validarse para evitar que contenido malicioso sea utilizado para comprometer la plataforma</t>
  </si>
  <si>
    <t>ESC-CAL-SEG-0010</t>
  </si>
  <si>
    <t>Un usuario que intente consultar directamente mediante una URL un recurso administrativo sin permisos no debe poder acceder a su información</t>
  </si>
  <si>
    <t>ESC-CAL-CON-0001</t>
  </si>
  <si>
    <t>Quiero que cuando esté haciendo una transacción y el sistema se caiga el estado de esta no se corrompa</t>
  </si>
  <si>
    <t>ESC-CAL-CON-0002</t>
  </si>
  <si>
    <t>ESC-CAL-CON-0003</t>
  </si>
  <si>
    <t>ESC-CAL-CON-0004</t>
  </si>
  <si>
    <t>Una notificación de pago recibida dos veces no produce dos efectos económicos</t>
  </si>
  <si>
    <t>ESC-CAL-CON-0005</t>
  </si>
  <si>
    <t>Una cancelación válida conserva coherencia entre el estado de la negociación y las operaciones económicas relacionadas</t>
  </si>
  <si>
    <t>ESC-CAL-CON-0006</t>
  </si>
  <si>
    <t>Si un usuario presiona varias veces el botón de confirmar una operación debido a una conexión lenta, debe producirse un único resultado válido</t>
  </si>
  <si>
    <t>ESC-CAL-CON-0007</t>
  </si>
  <si>
    <t>Si una negociación ya fue cancelada, una respuesta retrasada de otro proceso no debe devolverla accidentalmente a un estado anterior</t>
  </si>
  <si>
    <t>ESC-CAL-CON-0008</t>
  </si>
  <si>
    <t>Si una confirmación de pago llega mientras el usuario pierde conexión, el resultado final de la operación debe conservarse correctamente, aunque el usuario no alcance a visualizarlo en ese instante</t>
  </si>
  <si>
    <t>ESC-CAL-CON-0009</t>
  </si>
  <si>
    <t>Cuando dos usuarios actúan casi simultáneamente sobre una misma negociación, el sistema debe conservar un único estado válido y reconocible</t>
  </si>
  <si>
    <t>Capacidad de ser auditado</t>
  </si>
  <si>
    <t>ESC-CAL-AUD-0001</t>
  </si>
  <si>
    <t>Puede conocerse quién realizó una acción crítica sobre una negociación</t>
  </si>
  <si>
    <t>ESC-CAL-AUD-0002</t>
  </si>
  <si>
    <t>Puede conocerse cuándo ocurrió cada cambio importante en una operación</t>
  </si>
  <si>
    <t>ESC-CAL-AUD-0003</t>
  </si>
  <si>
    <t>Los registros conservan información suficiente para investigar incidentes sin almacenar innecesariamente contraseñas o secretos.</t>
  </si>
  <si>
    <t>ESC-CAL-AUD-0004</t>
  </si>
  <si>
    <t>ESC-CAL-AUD-0005</t>
  </si>
  <si>
    <t>Puede identificarse el resultado de las operaciones económicas relevantes realizadas por la plataforma</t>
  </si>
  <si>
    <t>ESC-CAL-AUD-0006</t>
  </si>
  <si>
    <t>Ante una reclamación, un usuario autorizado debe poder consultar cronológicamente los eventos importantes ocurridos durante una negociación</t>
  </si>
  <si>
    <t>ESC-CAL-AUD-0007</t>
  </si>
  <si>
    <t>Cuando un administrador aplique una acción sobre una cuenta o publicación reportada, debe quedar evidencia de quién realizó la acción y sobre qué elemento</t>
  </si>
  <si>
    <t>ESC-CAL-AUD-0008</t>
  </si>
  <si>
    <t>Los cambios relevantes de una operación económica deben poder relacionarse con la negociación que los originó</t>
  </si>
  <si>
    <t>ESC-CAL-AUD-0009</t>
  </si>
  <si>
    <t>ESC-CAL-DIS-0001</t>
  </si>
  <si>
    <t>Quiero que el sistema siga funcionando, aunque se metan funcionalidades nuevas cada cierto tiempo</t>
  </si>
  <si>
    <t>ESC-CAL-DIS-0002</t>
  </si>
  <si>
    <t>La plataforma continúa permitiendo consultar publicaciones, aunque temporalmente falle el servicio de pagos</t>
  </si>
  <si>
    <t>ESC-CAL-DIS-0003</t>
  </si>
  <si>
    <t>Después de una interrupción breve de conexión, el usuario puede continuar una negociación desde el último estado confirmado</t>
  </si>
  <si>
    <t>ESC-CAL-DIS-0004</t>
  </si>
  <si>
    <t>Si un servicio crítico deja de responder, la plataforma informa la falta de servicio sin dejar al usuario en una pantalla bloqueada indefinidamente</t>
  </si>
  <si>
    <t>ESC-CAL-DIS-0005</t>
  </si>
  <si>
    <t>Una falla temporal del servicio de correo o notificaciones no debe impedir que compradores y vendedores continúen utilizando las funciones principales del marketplace</t>
  </si>
  <si>
    <t>ESC-CAL-DIS-0006</t>
  </si>
  <si>
    <t>Si una funcionalidad secundaria presenta una falla, el usuario debe poder continuar utilizando las demás funciones que no dependan directamente de ella</t>
  </si>
  <si>
    <t>ESC-CAL-DIS-0007</t>
  </si>
  <si>
    <t>Durante mantenimientos planificados, los periodos de indisponibilidad deben reducirse de manera que afecten lo menos posible las operaciones activas en los horarios menos concurridos</t>
  </si>
  <si>
    <t>ESC-CAL-DIS-0008</t>
  </si>
  <si>
    <t>Si la plataforma presenta una interrupción inesperada, el servicio debe poder restablecerse sin requerir intervención manual prolongada para volver a atender usuarios</t>
  </si>
  <si>
    <t>Usabilidad – UX</t>
  </si>
  <si>
    <t>ESC-CAL-USA-0001</t>
  </si>
  <si>
    <t>ESC-CAL-USA-0002</t>
  </si>
  <si>
    <t>La interfaz debe prevenir errores y ayudar al usuario a recuperarse con salidas fáciles cuando una acción no pueda completarse o quiera deshacer operaciones sencillas</t>
  </si>
  <si>
    <t>ESC-CAL-USA-0003</t>
  </si>
  <si>
    <t>ESC-CAL-USA-0004</t>
  </si>
  <si>
    <t>La interfaz debe usar palabras fáciles de entender para los usuarios</t>
  </si>
  <si>
    <t>ESC-CAL-USA-0005</t>
  </si>
  <si>
    <t>No se debe saturar la pantalla de información irrelevante que le quite visibilidad a lo verdaderamente útil</t>
  </si>
  <si>
    <t>ESC-CAL-USA-0006</t>
  </si>
  <si>
    <t>Los mensajes de error deben ser suficientemente claros para los usuarios, con descripciones que realmente hagan entender al usuario qué provocó el error</t>
  </si>
  <si>
    <t>ESC-CAL-USA-0007</t>
  </si>
  <si>
    <t>Quiero que sea fácil para el usuario encontrar guías sobre cómo hacer operaciones en la plataforma</t>
  </si>
  <si>
    <t>ESC-CAL-USA-0008</t>
  </si>
  <si>
    <t>Antes de confirmar una compra, intercambio o acción importante, el usuario debe comprender claramente qué ocurrirá después de confirmar</t>
  </si>
  <si>
    <t>ESC-CAL-USA-0009</t>
  </si>
  <si>
    <t>Cuando un usuario complete correctamente una operación, la interfaz debe indicarle inmediatamente que la acción fue realizada con éxito</t>
  </si>
  <si>
    <t>ESC-CAL-USA-0011</t>
  </si>
  <si>
    <t>ESC-CAL-USA-0012</t>
  </si>
  <si>
    <t>El usuario debe poder identificar fácilmente en qué estado se encuentra una negociación sin tener que recordar las acciones realizadas anteriormente</t>
  </si>
  <si>
    <t>ESC-CAL-USA-0013</t>
  </si>
  <si>
    <t>Al realizar una propuesta de intercambio, debe diferenciarse claramente qué producto entrega cada persona y qué producto recibirá</t>
  </si>
  <si>
    <t>ESC-CAL-USA-0014</t>
  </si>
  <si>
    <t>ESC-CAL-USA-0015</t>
  </si>
  <si>
    <t>Las acciones utilizadas frecuentemente deben encontrarse cerca del contexto donde el usuario las necesita, evitando recorridos innecesarios por múltiples pantallas</t>
  </si>
  <si>
    <t>ESC-CAL-ESC-0001</t>
  </si>
  <si>
    <t>ESC-CAL-ESC-0002</t>
  </si>
  <si>
    <t>Quiero que si hay mucha gente comprando en un pico específico de tráfico como un Black Friday o navidad la plataforma no se caiga</t>
  </si>
  <si>
    <t>ESC-CAL-ESC-0003</t>
  </si>
  <si>
    <t>Quiero que en caso de necesitar registros de cualquier operación realizada este se genere en menos de 10s</t>
  </si>
  <si>
    <t>ESC-CAL-ESC-0004</t>
  </si>
  <si>
    <t>El crecimiento continuo del número de publicaciones no debe hacer que la plataforma pierda progresivamente su capacidad para atender nuevos usuarios</t>
  </si>
  <si>
    <t>ESC-CAL-ESC-0005</t>
  </si>
  <si>
    <t>El incremento del historial de chats y negociaciones a lo largo de los años no debe impedir que DAZMA continúe incorporando nuevos usuarios y operaciones</t>
  </si>
  <si>
    <t>ESC-CAL-ESC-0006</t>
  </si>
  <si>
    <t>La expansión desde el mercado inicial hacia nuevas ciudades o regiones debe poder realizarse sin crear una instalación independiente de DAZMA para cada ubicación</t>
  </si>
  <si>
    <t>ESC-CAL-ACC-0001</t>
  </si>
  <si>
    <t>Quiero que el sistema tenga soporte de accesibilidad para personas con discapacidades cognitivas, motoras o visuales</t>
  </si>
  <si>
    <t>ESC-CAL-ACC-0002</t>
  </si>
  <si>
    <t>Todas las acciones principales de DAZMA deben poder realizarse mediante teclado sin depender exclusivamente del mouse</t>
  </si>
  <si>
    <t>ESC-CAL-ACC-0003</t>
  </si>
  <si>
    <t>La información importante no debe comunicarse únicamente mediante colores</t>
  </si>
  <si>
    <t>ESC-CAL-ACC-0004</t>
  </si>
  <si>
    <t>Los campos de formularios deben disponer de etiquetas que puedan ser interpretadas por tecnologías de asistencia</t>
  </si>
  <si>
    <t>ESC-CAL-ACC-0005</t>
  </si>
  <si>
    <t>Al aumentar considerablemente el tamaño del texto o el zoom del navegador, las funciones esenciales deben continuar siendo visibles y utilizables</t>
  </si>
  <si>
    <t>ESC-CAL-ACC-0006</t>
  </si>
  <si>
    <t>Los botones e imágenes que cumplen una función deben proporcionar información comprensible para usuarios que utilicen lectores de pantalla</t>
  </si>
  <si>
    <t>ESC-CAL-ACC-0007</t>
  </si>
  <si>
    <t>Los mensajes de error deben poder ser percibidos por usuarios que dependan de tecnologías de asistencia</t>
  </si>
  <si>
    <t>ESC-CAL-ACC-0008</t>
  </si>
  <si>
    <t>La interfaz debe mantener suficiente contraste entre texto, controles y fondos para facilitar su lectura</t>
  </si>
  <si>
    <t>ESC-CAL-ACC-0009</t>
  </si>
  <si>
    <t>Los elementos interactivos deben ser suficientemente distinguibles y utilizables por personas con dificultades motoras que requieren mayor precisión o dispositivos alternativos</t>
  </si>
  <si>
    <t>ESC-CAL-REN-0001</t>
  </si>
  <si>
    <t>ESC-CAL-REN-0002</t>
  </si>
  <si>
    <t>ESC-CAL-REN-0003</t>
  </si>
  <si>
    <t>La consulta del detalle de una publicación responde rápidamente incluso cuando contiene varias imágenes</t>
  </si>
  <si>
    <t>ESC-CAL-REN-0004</t>
  </si>
  <si>
    <t>Los mensajes enviados durante una negociación aparecen en 2s máximo para la otra parte</t>
  </si>
  <si>
    <t>ESC-CAL-REN-0005</t>
  </si>
  <si>
    <t>Las acciones de aceptar, rechazar o responder una propuesta reflejan de inmediato la nueva interfaz</t>
  </si>
  <si>
    <t>ESC-CAL-REN-0006</t>
  </si>
  <si>
    <t>Al cargar el listado principal de publicaciones, el usuario debe comenzar a visualizar contenido sin esperar a que todas las imágenes terminen de cargarse completamente</t>
  </si>
  <si>
    <t>ESC-CAL-REN-0007</t>
  </si>
  <si>
    <t>La aplicación de filtros sobre un conjunto grande de publicaciones debe actualizar los resultados sin producir bloqueos prolongados de la interfaz</t>
  </si>
  <si>
    <t>ESC-CAL-REN-0008</t>
  </si>
  <si>
    <t>Consultar las negociaciones activas de un usuario debe mantenerse rápido, aunque este acumule un historial considerable de operaciones anteriores</t>
  </si>
  <si>
    <t>ESC-CAL-REN-0009</t>
  </si>
  <si>
    <t>Durante periodos de alta actividad, iniciar sesión y acceder a la pantalla principal debe conservar tiempos de respuesta aceptables</t>
  </si>
  <si>
    <t>ESC-CAL-REN-0010</t>
  </si>
  <si>
    <t>Cargar la información principal de un chat no debe retrasarse significativamente debido a la existencia de mensajes antiguos</t>
  </si>
  <si>
    <t>ESC-CAL-REN-0011</t>
  </si>
  <si>
    <t>Las funciones administrativas de consulta no deben generar cargas tan pesadas que ralenticen las operaciones normales de compradores y vendedores</t>
  </si>
  <si>
    <t>ESC-CAL-INT-0001</t>
  </si>
  <si>
    <t>Quiero que el sistema se pueda integrar fácilmente con nuevos servicios de pago que vayan saliendo en el tiempo</t>
  </si>
  <si>
    <t>ESC-CAL-INT-0002</t>
  </si>
  <si>
    <t>El sistema debe tener protocolos de comunicación estándares que permitan que se pueda conectar a servicios de pasarelas de pago o autenticación cuando se estén integrando nuevos servicios externos</t>
  </si>
  <si>
    <t>ESC-CAL-INT-0003</t>
  </si>
  <si>
    <t>Si un proveedor externo envía dos veces la misma notificación de una operación, la plataforma debe reconocerla correctamente sin producir dos efectos de negocio</t>
  </si>
  <si>
    <t>ESC-CAL-INT-0004</t>
  </si>
  <si>
    <t>La lógica de negociación no debe depender de alguna implementación específica de una pasarela de pago</t>
  </si>
  <si>
    <t>ESC-CAL-INT-0005</t>
  </si>
  <si>
    <t>Si un proveedor externo devuelve un error, la plataforma debe poder interpretar dicho resultado y mantener un estado interno coherente de la operación</t>
  </si>
  <si>
    <t>ESC-CAL-INT-0006</t>
  </si>
  <si>
    <t>La falla temporal del servicio utilizado para enviar correos electrónicos no debe provocar la pérdida definitiva de las notificaciones que faltan por entregarse</t>
  </si>
  <si>
    <t>ESC-CAL-INT-0007</t>
  </si>
  <si>
    <t>La información intercambiada entre los servicios externos y la plataforma deben poder relacionarse claramente con la operación interna de DAZMA</t>
  </si>
  <si>
    <t>ESC-CAL-INT-0008</t>
  </si>
  <si>
    <t>Incorporar posteriormente un nuevo proveedor de notificaciones no debe requerir modificar las reglas centrales de publicaciones, compras o intercambios</t>
  </si>
  <si>
    <t>ESC-CAL-INT-0009</t>
  </si>
  <si>
    <t>Si cambia el formato o versión de una integración externa, el impacto debe quedar limitado principalmente al mecanismo encargado de comunicarse con dicho proveedor</t>
  </si>
  <si>
    <t>ESC-CAL-CAP-0001</t>
  </si>
  <si>
    <t>El sistema soporta el volumen objetivo de publicaciones activas sin dejar de operar correctamente</t>
  </si>
  <si>
    <t>ESC-CAL-CAP-0002</t>
  </si>
  <si>
    <t>La plataforma soporta el volumen esperado de negociaciones concurrentes</t>
  </si>
  <si>
    <t>ESC-CAL-CAP-0003</t>
  </si>
  <si>
    <t>El sistema debe activar automáticamente más servidores para recibir más peticiones en picos de tráfico</t>
  </si>
  <si>
    <t>ESC-CAL-CAP-0004</t>
  </si>
  <si>
    <t>DAZMA debe poder soportar el volumen máximo de usuarios concurrentes que el negocio determine para cada etapa de crecimiento</t>
  </si>
  <si>
    <t>ESC-CAL-CAP-0005</t>
  </si>
  <si>
    <t>El chat debe poder atender el volumen de conversaciones simultáneas esperado durante los periodos de mayor utilización</t>
  </si>
  <si>
    <t>ESC-CAL-CAP-0006</t>
  </si>
  <si>
    <t>La plataforma debe poder almacenar el volumen de publicaciones e imágenes previsto sin impedir nuevas publicaciones por agotamientos inesperados de recursos</t>
  </si>
  <si>
    <t>ESC-CAL-CAP-0007</t>
  </si>
  <si>
    <t>El sistema debe identificar cuando se aproxima a ciertos limites operativos antes de llegar a un punto de saturación</t>
  </si>
  <si>
    <t>ESC-CAL-CAP-0008</t>
  </si>
  <si>
    <t>Antes de ampliar considerablemente la cantidad de usuarios, se debe poder comprobar mediante pruebas cuál es el volumen concurrente que la plataforma puede soportar</t>
  </si>
  <si>
    <t>ESC-CAL-CAP-0009</t>
  </si>
  <si>
    <t>El volumen de operaciones económicas simultaneas no debe superar la capacidad del sistema sin que exista alguna forma de detectarlo</t>
  </si>
  <si>
    <t>ESC-CAL-POR-0001</t>
  </si>
  <si>
    <t>Quiero que una persona desde cualquier dispositivo de TI con un navegador web pueda acceder a la página sin limitaciones significativas</t>
  </si>
  <si>
    <t>ESC-CAL-POR-0002</t>
  </si>
  <si>
    <t>Cambiar determinados servicios de infraestructura no obliga a modificar directamente las reglas de publicaciones, negociación o reputación</t>
  </si>
  <si>
    <t>ESC-CAL-POR-0003</t>
  </si>
  <si>
    <t>La configuración especifica de cada ambiente debe poder cambiar sin requerir modificar el comportamiento funcional de la plataforma</t>
  </si>
  <si>
    <t>ESC-CAL-POR-0004</t>
  </si>
  <si>
    <t>La plataforma no debe depender de extensiones propias instaladas en el navegador del usuario para ejecutar sus funcionalidades principales</t>
  </si>
  <si>
    <t>ESC-CAL-POR-0005</t>
  </si>
  <si>
    <t>Las funcionalidades principales deben conservar el mismo comportamiento independientemente del entorno en que se encuentre ejecutándose la plataforma, siempre y cuando este cumpla con las condiciones soportadas</t>
  </si>
  <si>
    <t>TOTAL escenarios</t>
  </si>
  <si>
    <t>Codigo caracteristica</t>
  </si>
  <si>
    <t>Descripcion de la caracteristica</t>
  </si>
  <si>
    <t>Codigo escenario de calidad</t>
  </si>
  <si>
    <t>Descripcion escenario de calidad</t>
  </si>
  <si>
    <t>CAR-SEG-0001</t>
  </si>
  <si>
    <t>El sistema debe gestionar de forma segura las credenciales y el ciclo de vida de las sesiones de sus usuarios</t>
  </si>
  <si>
    <t>CAR-SEG-0002</t>
  </si>
  <si>
    <t>El sistema debe garantizar que cada usuario solo acceda y opere sobre los recursos y operaciones que le corresponden</t>
  </si>
  <si>
    <t>CAR-SEG-0003</t>
  </si>
  <si>
    <t>El sistema debe proteger las operaciones económicas frente a uso indebido, repetición y exposición de información secreta</t>
  </si>
  <si>
    <t>CAR-SEG-0004</t>
  </si>
  <si>
    <t>El sistema debe validar el contenido cargado por los usuarios antes de incorporarlo a la plataforma</t>
  </si>
  <si>
    <t>CAR-CON-0001</t>
  </si>
  <si>
    <t>El sistema debe preservar la integridad de la información crítica del negocio ante fallas e interrupciones</t>
  </si>
  <si>
    <t>CAR-CON-0002</t>
  </si>
  <si>
    <t>El sistema debe garantizar que una misma operación crítica produzca un único efecto, sin importar cuántas veces se solicite</t>
  </si>
  <si>
    <t>CAR-CON-0003</t>
  </si>
  <si>
    <t>El sistema debe mantener la coherencia de la máquina de estados de la negociación frente a eventos concurrentes o tardíos</t>
  </si>
  <si>
    <t>CAR-AUD-0001</t>
  </si>
  <si>
    <t>CAR-AUD-0002</t>
  </si>
  <si>
    <t>El sistema debe conservar registros suficientes para investigar incidentes, protegidos contra alteración y sin almacenar secretos innecesarios</t>
  </si>
  <si>
    <t>CAR-AUD-0003</t>
  </si>
  <si>
    <t>El sistema debe permitir seguir el rastro de las operaciones económicas y vincularlas con la negociación que las originó</t>
  </si>
  <si>
    <t>CAR-AUD-0004</t>
  </si>
  <si>
    <t>El sistema debe permitir reconstruir cronológicamente lo ocurrido en una operación para atender reclamaciones y diagnosticar fallas</t>
  </si>
  <si>
    <t>CAR-DIS-0001</t>
  </si>
  <si>
    <t>El sistema debe seguir prestando sus funciones principales aunque un servicio secundario o externo se encuentre fuera de servicio</t>
  </si>
  <si>
    <t>CAR-DIS-0002</t>
  </si>
  <si>
    <t>El sistema debe evitar que una falla deje al usuario bloqueado o le haga perder el avance de su negociación</t>
  </si>
  <si>
    <t>CAR-DIS-0003</t>
  </si>
  <si>
    <t>El sistema debe poder evolucionar, mantenerse y recuperarse afectando lo menos posible la operación de los usuarios</t>
  </si>
  <si>
    <t>CAR-USA-0001</t>
  </si>
  <si>
    <t>La interfaz debe emplear un lenguaje y una presentación visual comprensibles para usuarios con distintos niveles de experiencia digital</t>
  </si>
  <si>
    <t>CAR-USA-0002</t>
  </si>
  <si>
    <t>La interfaz debe mantener siempre visible el estado actual de las operaciones del usuario sin exigirle memorizar lo ocurrido</t>
  </si>
  <si>
    <t>CAR-USA-0003</t>
  </si>
  <si>
    <t>La interfaz debe prevenir errores del usuario y facilitar su recuperación sin pérdida de trabajo</t>
  </si>
  <si>
    <t>CAR-USA-0004</t>
  </si>
  <si>
    <t>La interfaz debe ser consistente entre pantallas y minimizar los recorridos necesarios para las acciones frecuentes</t>
  </si>
  <si>
    <t>CAR-USA-0005</t>
  </si>
  <si>
    <t>El sistema debe acompañar al usuario antes de que tome decisiones importantes y ofrecerle ayuda accesible</t>
  </si>
  <si>
    <t>CAR-ESC-0001</t>
  </si>
  <si>
    <t>La plataforma debe poder crecer en usuarios y cobertura geográfica sin reconstruir ni duplicar sus funcionalidades centrales</t>
  </si>
  <si>
    <t>CAR-ESC-0002</t>
  </si>
  <si>
    <t>La plataforma debe absorber picos de demanda sin interrumpir el servicio</t>
  </si>
  <si>
    <t>CAR-ESC-0003</t>
  </si>
  <si>
    <t>La plataforma debe sostener el crecimiento continuo del volumen de datos históricos sin degradar su capacidad de atender nuevos usuarios</t>
  </si>
  <si>
    <t>CAR-ESC-0004</t>
  </si>
  <si>
    <t>La plataforma debe seguir entregando la información operativa que el negocio requiere a medida que crece el volumen de operaciones</t>
  </si>
  <si>
    <t>CAR-ACC-0001</t>
  </si>
  <si>
    <t>La plataforma debe ofrecer soporte de accesibilidad para personas con discapacidades cognitivas, motoras o visuales</t>
  </si>
  <si>
    <t>CAR-ACC-0002</t>
  </si>
  <si>
    <t>Las funciones principales deben poder operarse sin depender del mouse ni de una precisión motora elevada</t>
  </si>
  <si>
    <t>CAR-ACC-0003</t>
  </si>
  <si>
    <t>La interfaz debe ser interpretable por tecnologías de asistencia como los lectores de pantalla</t>
  </si>
  <si>
    <t>CAR-ACC-0004</t>
  </si>
  <si>
    <t>La información debe ser perceptible visualmente sin depender de un único canal ni de una configuración de pantalla específica</t>
  </si>
  <si>
    <t>CAR-REN-0001</t>
  </si>
  <si>
    <t>El sistema debe conservar tiempos de respuesta aceptables en las operaciones principales, incluso al aumentar la carga de usuarios</t>
  </si>
  <si>
    <t>CAR-REN-0002</t>
  </si>
  <si>
    <t>La interfaz debe mantenerse fluida al presentar contenido pesado o grandes conjuntos de publicaciones</t>
  </si>
  <si>
    <t>CAR-REN-0003</t>
  </si>
  <si>
    <t>El sistema debe conservar su rendimiento aunque el usuario acumule un historial considerable de operaciones y mensajes</t>
  </si>
  <si>
    <t>CAR-REN-0004</t>
  </si>
  <si>
    <t>La comunicación durante una negociación debe percibirse como inmediata entre las partes</t>
  </si>
  <si>
    <t>CAR-REN-0005</t>
  </si>
  <si>
    <t>Las cargas generadas por funciones administrativas no deben afectar el rendimiento de la operación normal de los usuarios</t>
  </si>
  <si>
    <t>CAR-INT-0001</t>
  </si>
  <si>
    <t>La plataforma debe poder incorporar nuevos proveedores externos apoyándose en protocolos estándares y con bajo impacto sobre el resto del sistema</t>
  </si>
  <si>
    <t>CAR-INT-0002</t>
  </si>
  <si>
    <t>La lógica central del negocio no debe depender de la implementación ni de la versión específica de un proveedor externo</t>
  </si>
  <si>
    <t>CAR-INT-0003</t>
  </si>
  <si>
    <t>La plataforma debe procesar de forma confiable los mensajes que recibe de proveedores externos, incluidos duplicados, errores y fallas temporales</t>
  </si>
  <si>
    <t>CAR-INT-0004</t>
  </si>
  <si>
    <t>CAR-CAP-0001</t>
  </si>
  <si>
    <t>La plataforma debe soportar el volumen de usuarios, negociaciones y conversaciones concurrentes definido por el negocio para cada etapa</t>
  </si>
  <si>
    <t>CAR-CAP-0002</t>
  </si>
  <si>
    <t>La plataforma debe soportar el volumen previsto de publicaciones e imágenes almacenadas sin agotar sus recursos</t>
  </si>
  <si>
    <t>CAR-CAP-0003</t>
  </si>
  <si>
    <t>El sistema debe detectar la proximidad a sus límites operativos antes de alcanzar un punto de saturación</t>
  </si>
  <si>
    <t>CAR-CAP-0004</t>
  </si>
  <si>
    <t>La capacidad de la plataforma debe poder verificarse y ampliarse de forma controlada antes de un crecimiento previsto</t>
  </si>
  <si>
    <t>CAR-POR-0001</t>
  </si>
  <si>
    <t>La plataforma debe ser accesible desde cualquier dispositivo con navegador web, sin requerir componentes propios instalados</t>
  </si>
  <si>
    <t>CAR-POR-0002</t>
  </si>
  <si>
    <t>El comportamiento funcional de la plataforma debe conservarse en cualquier entorno soportado, variando únicamente su configuración</t>
  </si>
  <si>
    <t>CAR-POR-0003</t>
  </si>
  <si>
    <t>Los servicios de infraestructura deben poder sustituirse sin modificar las reglas de publicaciones, negociación o reputación</t>
  </si>
  <si>
    <t>TOTAL caracteristicas</t>
  </si>
  <si>
    <t>Dot Voting</t>
  </si>
  <si>
    <t>Yo como comprador quiero que mi dinero se retenga en la aplicación hasta confirmar que el encuentro fue exitoso</t>
  </si>
  <si>
    <t>Cuando una operación falle, debe ser posible identificar posteriormente en qué etapa ocurrió el problema sin depender únicamente de la descripción del usuario (No entendí)</t>
  </si>
  <si>
    <t>Las opciones que realizan la misma acción deben conservar nombres, iconos y movimientos coherentes entre las diferentes pantallas</t>
  </si>
  <si>
    <t>Si la cantidad de usuarios activos aumenta varias veces respecto a la etapa inicial, la plataforma debe poder crecer sin necesidad de reconstruir sus funcionalidades principales</t>
  </si>
  <si>
    <t>La información intercambiada con servicios externos debe poder relacionarse correctamente con la operación interna que le corresponde</t>
  </si>
  <si>
    <t>El sistema debe registrar quien hizo y el momento de cada acción crítica realizada sobre la plataforma</t>
  </si>
  <si>
    <t>Cuando existan filtros de búsqueda activos, el usuario debe poder reconocer cuáles están aplicados sin tener que abrir nuevamente la opción</t>
  </si>
  <si>
    <t xml:space="preserve">Descripcion de la caracteristica </t>
  </si>
  <si>
    <t xml:space="preserve">Descripcion escenario de calidad </t>
  </si>
  <si>
    <t>Se asignó un 25% del total de ideas a cada actor, lo que da 24.75 ideas, quedando finalmente 25 puntos a cada actor. Cada actor puede dar un máximo de 2 puntos a una idea que le parezca más importante, siendo 2 puntos un punto de importancia máxima</t>
  </si>
  <si>
    <t>Auditabilidad</t>
  </si>
  <si>
    <t>Usabilidad</t>
  </si>
  <si>
    <t>Código Escenario</t>
  </si>
  <si>
    <t>Nombre</t>
  </si>
  <si>
    <t>Estímulo</t>
  </si>
  <si>
    <t>Fuente del estímulo</t>
  </si>
  <si>
    <t>Ambiente</t>
  </si>
  <si>
    <t>Artefacto</t>
  </si>
  <si>
    <t>Respuesta</t>
  </si>
  <si>
    <t>Métrica</t>
  </si>
  <si>
    <t>Un usuario</t>
  </si>
  <si>
    <t>Módulo de autorización del sistema</t>
  </si>
  <si>
    <t>El sistema devuelve al usuario un error advirtiendo que no tiene permiso para hacer eso y el sistema deniega la petición</t>
  </si>
  <si>
    <t>El usuario intenta acceder a un endpoint al que no está autorizado por medio de consola sin pasar por la interfaz de usuario</t>
  </si>
  <si>
    <t>El usuario hace un pago para encime o compra de un producto</t>
  </si>
  <si>
    <t>Módulo de pagos del sistema</t>
  </si>
  <si>
    <t>El sistema retiene el dinero en la pasarela de pagos con posibilidad de reversión en caso de que el encuentro no haya sido exitoso</t>
  </si>
  <si>
    <t>El sistema entrega el dinero al vendedor/persona con producto de mayor valor solamente después de una confirmación de que el encuentro se llevó a cabo exitosamente</t>
  </si>
  <si>
    <t>Operación activa de la plataforma</t>
  </si>
  <si>
    <t>El 100% de las operaciones no autorizadas se rechazan y no se modifica nada en la plataforma</t>
  </si>
  <si>
    <t>Se intenta ejecutar una operación sensible no autorizada, repetir una solicitud ya realizada o provocar la exposicion de información secreta</t>
  </si>
  <si>
    <t>Operación normal y procesamiento de operaciones sensibles</t>
  </si>
  <si>
    <t>Controles de seguridad de autenticación, autorización y ejecución de operaciones sensibles</t>
  </si>
  <si>
    <t>El usuario hace un proceso de pago en una compra, propone un intercambio o acepta o rechaza una propuesta y el sistema se cae cuando se está procesando la operación</t>
  </si>
  <si>
    <t>El sistema valida autorización, evita efectos duplicados y oculta credenciales, tokens y secretos en respuestas y registros no autorizados</t>
  </si>
  <si>
    <t>El 100% de las solicitudes no autorizadas se rechaza y se exponen 0 secretos en las salidas evaluadas</t>
  </si>
  <si>
    <t>Fallas en el sistema</t>
  </si>
  <si>
    <t>Proveedor de pagos</t>
  </si>
  <si>
    <t xml:space="preserve">Envia dos o mas veces la misma notificación válida correspondiente a una única operación </t>
  </si>
  <si>
    <t>Operación normal y luego falla que provoca una caída del sistema</t>
  </si>
  <si>
    <t xml:space="preserve">Operación normal </t>
  </si>
  <si>
    <t>Todo el sistema</t>
  </si>
  <si>
    <t>El sistema deja las operaciones como estaban inmediatamente antes del fallo, con los estados correspondientes que el usuario haya seleccionado</t>
  </si>
  <si>
    <t>El 100% de las operaciones se mantiene con estados coherentes y fieles a las selecciones de los usuarios</t>
  </si>
  <si>
    <t>Un administrador</t>
  </si>
  <si>
    <t>Integración de pagos</t>
  </si>
  <si>
    <t>El usuario presiona varias veces la confirmación de la operación</t>
  </si>
  <si>
    <t>El sistema reconoce que la notificación ya fue procesada y evita ejecutar nuevamente el efecto económico asociado</t>
  </si>
  <si>
    <t>Módulo de lógica de negocio</t>
  </si>
  <si>
    <t>Cada identificador unico de operación debe producir solo 1 efecto económico, aunque una notificación sea recibida varias veces</t>
  </si>
  <si>
    <t>Operación de la plataforma con una conexión lenta del usuario</t>
  </si>
  <si>
    <t>El sistema confirma la petición y la ejecuta una sola vez</t>
  </si>
  <si>
    <t xml:space="preserve">Realiza una acción que modifica el estado de una negociación </t>
  </si>
  <si>
    <t>Operación normal</t>
  </si>
  <si>
    <t>Registro de auditoría de negociaciones</t>
  </si>
  <si>
    <t xml:space="preserve">El sistema registra la identidad del actor, la acción realizada, la fecha y hora del resultado de la operación </t>
  </si>
  <si>
    <t>El sistema ejecuta la petición realizada por el usuario por más que se haya tocado el botón muchas veces</t>
  </si>
  <si>
    <t>El 100% de las acciones críticas evaluadas contiene identificador del actor, acción, fecha/hora y resultado</t>
  </si>
  <si>
    <t>Aplica una medida sobre una cuenta o una publicación reportada</t>
  </si>
  <si>
    <t>Durante la gestión de reportes y moderación</t>
  </si>
  <si>
    <t>Cuando un administrador requiera los registros, estos deben conservan información suficiente para investigar incidentes sin almacenar innecesariamente contraseñas o secretos.</t>
  </si>
  <si>
    <t xml:space="preserve">Funciones administrativas </t>
  </si>
  <si>
    <t>El sistema conserva evidencia del administrador que ejecutó la acción, el elemento afectado, la acción aplicada y el momento en que ocurrió</t>
  </si>
  <si>
    <t>Logs del sistema y/o acceso a conexión con base de datos</t>
  </si>
  <si>
    <t>El 100% de los registros auditables evaluados contienen los campos minimos definidos y se encuentran 0 contraseñas o tokens almacenados en ellos</t>
  </si>
  <si>
    <t>Solicita reconstruir lo ocurrido en una negociación a raiz de una reclamación</t>
  </si>
  <si>
    <t>Hace una consulta de las transacciones de ciertos usuarios con los estados que estas tuvieron a lo largo del tiempo</t>
  </si>
  <si>
    <t>El sistema devuelve al administrador los datos registrados como fecha y hora de realización, confirmación o rechazo de una propuesta</t>
  </si>
  <si>
    <t>Después de que la negociación ha registrado uno o mas cambios de estado</t>
  </si>
  <si>
    <t>El 100% de las transacciones tiene sus respectivos logs con los pasos de los estados que tuvo la transacción</t>
  </si>
  <si>
    <t xml:space="preserve">Historial de la negociación </t>
  </si>
  <si>
    <t xml:space="preserve">El sistema presenta eventos críticos asociados a la operación ordenados cronológicamente e identificando al actor, acción y resultado </t>
  </si>
  <si>
    <t>La reconstrucción contiene el 100% de los eventos críticos registrados para la operación y los presenta en orden cronológico</t>
  </si>
  <si>
    <t>Servicio crítico</t>
  </si>
  <si>
    <t>No responde dentro del tiempo esperado</t>
  </si>
  <si>
    <t>Operación normal con indisponibilidad parcial</t>
  </si>
  <si>
    <t>Flujo que depende del servicio y su interfaz con el usuario</t>
  </si>
  <si>
    <t xml:space="preserve">Fallas en el o los servicios de notificaciones </t>
  </si>
  <si>
    <t>El o los servicios de notificaciones se cae</t>
  </si>
  <si>
    <t>El sistema finaliza la espera de forma controlada, informa que la función no está disponible y permite al usuario salir, reintentar o continuar con las funciones no afectadas</t>
  </si>
  <si>
    <t>El 100% de los timeouts simulados termina con una respuesta controlada y se presentan 0 pantallas bloqueadas indefinidamente</t>
  </si>
  <si>
    <t>Durante una caída de el o los servicios de notificaciones del sistema</t>
  </si>
  <si>
    <t>Equipo de desarrollo</t>
  </si>
  <si>
    <t>Despliega una nueva versión que incorpora o modifica funcionalidades</t>
  </si>
  <si>
    <t>Actualización planificada de la plataforma en producción</t>
  </si>
  <si>
    <t>Plataforma y sus flujos principales existentes</t>
  </si>
  <si>
    <t>El sistema incorpora la nueva versión manteniendo operativas las funcionalidades no afectadas y sin introducir fallos en los flujos principales existentes</t>
  </si>
  <si>
    <t>El módulo de notificaciones del sistema</t>
  </si>
  <si>
    <t>El sistema sigue prestando todos los demás servicios como acceso a publicaciones, compras, intercambios, chat y transacciones</t>
  </si>
  <si>
    <t>El 100% de los servicios externos que no dependen de las notificaciones siguen funcionando aunque este servcio esté caído</t>
  </si>
  <si>
    <t>Falla inesperada</t>
  </si>
  <si>
    <t>Provoca la interrupción total o parcial de un componente recuperable</t>
  </si>
  <si>
    <t xml:space="preserve">Operación en producción </t>
  </si>
  <si>
    <t>Servicios de ejecución</t>
  </si>
  <si>
    <t>El sistema detecta la falla e intenta restablecer automáticamente el componente para volver a atender solicitudes sin requerir intervención manual prolongada</t>
  </si>
  <si>
    <t>Accede a la información de una operación para verificar su estado</t>
  </si>
  <si>
    <t>Operación normal del sistema</t>
  </si>
  <si>
    <t xml:space="preserve">En pruebas controladas, el 100% de las fallas recuperables definidas restablece el servicio automaticamente </t>
  </si>
  <si>
    <t xml:space="preserve">Después del despliegue, el 100% de los flujos críticos incluidos en la prueba de regresión continúa funcionando y se producen 0 interrupciones </t>
  </si>
  <si>
    <t>Módulo encargado de brindar información sobre las operaciones del mismo usuario</t>
  </si>
  <si>
    <t>Consulta o prepara una propuesta para decidir si continuar con la negociación</t>
  </si>
  <si>
    <t>Durante una propuesta o contraoferta activa</t>
  </si>
  <si>
    <t>Interfaz de propuestas y contraofertas</t>
  </si>
  <si>
    <t>El sistema diferencia visual y textualmente qué entrega cada parte, qué recibe y el dinero adicional involucrado cuando aplique</t>
  </si>
  <si>
    <t>Al menos el 90% de los usuarios evaluados identifica correctamente qué entrega, qué recibe y si existe dinero adicional antes de  confirmar la propuesta</t>
  </si>
  <si>
    <t>Comete un error de entrada o ejecuta una acción que no puede completarse</t>
  </si>
  <si>
    <t>Uso normal de formularios y flujos interactivos</t>
  </si>
  <si>
    <t>Interfaz donde se produce el error</t>
  </si>
  <si>
    <t>El sistema muestra los estados de las operaciones consistentemente con colores ilustrativos que reflejen el estado de la operación</t>
  </si>
  <si>
    <t>El sistema explica el problema en lenguaje natural, identifica qué debe corregirse y orienta al usuario sobre como continuar</t>
  </si>
  <si>
    <t>Una cantidad de usuarios mayor o igual al 90% identifica si la propuesta ha sido rechazada, aceptada, finalizada u otro estado de la operación</t>
  </si>
  <si>
    <t>Al menos el 90% de los usuarios evaluados identifica la causa y corrige el error sin asistencia</t>
  </si>
  <si>
    <t>Intenta completar uno de los flujos principales de la plataforma</t>
  </si>
  <si>
    <t>Primera utilización bajo condiciones normales de operación</t>
  </si>
  <si>
    <t>Interfaces de los flujos principales de la plataforma</t>
  </si>
  <si>
    <t>El sistema presenta instrucciones, opciones y retroalimentación suficientes para que el usuario comprenda qué ocurre y pueda avanzar por el flujo</t>
  </si>
  <si>
    <t>Va a confirmar una compra o intercambio</t>
  </si>
  <si>
    <t>Al menos el 90% de los usuarios representativos completa correctamente el flujo principal evaluado sin asistencia externa</t>
  </si>
  <si>
    <t>Operación normal de la plataforma</t>
  </si>
  <si>
    <t>Varios usuarios</t>
  </si>
  <si>
    <t>Genera un pico de solicitudes por una fecha o evento de alta demanda, como Black Friday o temporada navideña</t>
  </si>
  <si>
    <t xml:space="preserve">Periodo de demanda significativamente superior a la operación habitual </t>
  </si>
  <si>
    <t>El módulo de lógica de negocio</t>
  </si>
  <si>
    <t>Plataforma y recursos que atienden a las solicitudes</t>
  </si>
  <si>
    <t>El sistema absorbe el incremento de carga o degrada de forma controlada sin producir una caída general de la plataforma</t>
  </si>
  <si>
    <t>En la prueba de carga con el volumen pico objetivo, la plataforma presenta 0 caídas generales y mantiene operativos los flujos críticos</t>
  </si>
  <si>
    <t>Usuarios concurrentes</t>
  </si>
  <si>
    <t xml:space="preserve">El sistema muestra una ventana de confirmación al confirmar una compra o un intercambio con un mensaje </t>
  </si>
  <si>
    <t>Aumentan considerablemente el número de solicitudes realizadas sobre las funcionalidades principales</t>
  </si>
  <si>
    <t>Periodo de alta carga dentro del volumen objetivo definido para la prueba</t>
  </si>
  <si>
    <t>Operaciones principales de la plataforma</t>
  </si>
  <si>
    <t>Al menos el 90% de los usuarios debe comprender qué está aceptando en una compra/intercambio y cuál es el siguiente paso a seguir en la negociación</t>
  </si>
  <si>
    <t>Entra a la pantalla principal o entra a una publicación específica</t>
  </si>
  <si>
    <t>Funcionalidades encargadas de mostrar las publicaciones con sus detalles</t>
  </si>
  <si>
    <t>El sistema procesa las solicitudes sin superar el tiempo de respuesta establecido para las operaciones principales</t>
  </si>
  <si>
    <t xml:space="preserve">El sistema muestra todos los datos configurados para verse de la publicación como imágenes, descrpición, título de la forma en que fue diseñado </t>
  </si>
  <si>
    <t>Las operaciones principales evaluadas responden en un tiempo menor o igual a 3 segundos bajo la carga objetivo demanda</t>
  </si>
  <si>
    <t xml:space="preserve">El sistema responde a clicks en publicaciones en un tiempo menor o igual a 3s </t>
  </si>
  <si>
    <t>Envía un mensaje a la otra parte mediante el chat</t>
  </si>
  <si>
    <t>Negociación activa y operación normal</t>
  </si>
  <si>
    <t xml:space="preserve">Alta carga de procesamiento o almacenamiento </t>
  </si>
  <si>
    <t>Servicio e interfaz de mensajería de la plataforma</t>
  </si>
  <si>
    <t>El sistema procesa el mensaje y lo pone a disposición del destinatario actualizando la conversación</t>
  </si>
  <si>
    <t>El sistema detecta que se está utilizando una gran cantidad de recursos del servidor y manda una alerta a los administradores</t>
  </si>
  <si>
    <t>El mensaje aparece disponible para la otra parte en un tiempo máximo de 2 segundos desde su envío</t>
  </si>
  <si>
    <t>Mecanismos de monitoreo</t>
  </si>
  <si>
    <t>Muchos usuarios utilizando el sistema</t>
  </si>
  <si>
    <t>El 100% de los umbrales operativos configurados y probados envía una alerta antes de alcanzar el nivel de saturación asociado</t>
  </si>
  <si>
    <t>Se aproxima a uno de los limites operativos configurados para la plataforma</t>
  </si>
  <si>
    <t xml:space="preserve">El sistema debe gestionar de forma segura las credenciales y el ciclo de vida de las sesiones de sus usuarios
</t>
  </si>
  <si>
    <t>El usuario permanece inactivo en la plataforma durante un periodo de timepo sin realizar ninguna accion</t>
  </si>
  <si>
    <t>Operación activa de la plataforma con una sesion de usuario abierta</t>
  </si>
  <si>
    <t>Modulo de gestion de sesiones del sistema</t>
  </si>
  <si>
    <t xml:space="preserve">El sistema detecta inactividad prolongada y cierra automaticamente la sesion </t>
  </si>
  <si>
    <t>Todas las sesiones inactivas se cierran automaticamente al superar un timepo de inactividad definido</t>
  </si>
  <si>
    <t>Ocurre una falla temporal mientras se procesa informacion critica de negocio</t>
  </si>
  <si>
    <t>Operación normal y luego falla temporal que interrumpe el procesamineto</t>
  </si>
  <si>
    <t>El sistema recupera su estado sin perdida, duplicacion ni corrupcion de la informacion critica una vez reestablecido el servicio</t>
  </si>
  <si>
    <t>Toda la informacion critica evaluada permanece integra, sin perdida ni duplicacion despues de una falla temporal</t>
  </si>
  <si>
    <t>Completa correctamente una operación dentro de la plataforma</t>
  </si>
  <si>
    <t xml:space="preserve">Interfaz donde se ejecuta la operación </t>
  </si>
  <si>
    <t>El sistema muestra inmediatamente un mensaje o indicador visual confirmando que la accion se realizo con éxito</t>
  </si>
  <si>
    <t>El 100% de las operaciones completadas exitosamente muestran una confirmacion visible en un tiempo menor o igual a 1 segundo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</si>
</sst>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2"/>
      <color theme="1"/>
      <name val="Arial"/>
      <family val="2"/>
    </font>
    <font>
      <sz val="11"/>
      <name val="Arial"/>
      <family val="2"/>
    </font>
    <font>
      <sz val="12"/>
      <color theme="1"/>
      <name val="Aptos Narrow"/>
      <family val="2"/>
      <scheme val="minor"/>
    </font>
    <font>
      <b/>
      <sz val="11"/>
      <color rgb="FF1F1F1F"/>
      <name val="Arial"/>
      <family val="2"/>
    </font>
    <font>
      <b/>
      <sz val="11"/>
      <color theme="1"/>
      <name val="Arial"/>
      <family val="2"/>
    </font>
    <font>
      <sz val="11"/>
      <color rgb="FF1F1F1F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8B4B4"/>
        <bgColor rgb="FFF7C0DA"/>
      </patternFill>
    </fill>
    <fill>
      <patternFill patternType="solid">
        <fgColor rgb="FFFBD5A5"/>
        <bgColor rgb="FFFAF0A0"/>
      </patternFill>
    </fill>
    <fill>
      <patternFill patternType="solid">
        <fgColor rgb="FFFAF0A0"/>
        <bgColor rgb="FFFBD5A5"/>
      </patternFill>
    </fill>
    <fill>
      <patternFill patternType="solid">
        <fgColor rgb="FFC3EFC7"/>
        <bgColor rgb="FFB4E5A2"/>
      </patternFill>
    </fill>
    <fill>
      <patternFill patternType="solid">
        <fgColor rgb="FFA8E4E6"/>
        <bgColor rgb="FFB4D4F0"/>
      </patternFill>
    </fill>
    <fill>
      <patternFill patternType="solid">
        <fgColor rgb="FFEDB9E8"/>
        <bgColor rgb="FFF7C0DA"/>
      </patternFill>
    </fill>
    <fill>
      <patternFill patternType="solid">
        <fgColor rgb="FFD6E4A8"/>
        <bgColor rgb="FFC3EFC7"/>
      </patternFill>
    </fill>
    <fill>
      <patternFill patternType="solid">
        <fgColor rgb="FFB4D4F0"/>
        <bgColor rgb="FFA8E4E6"/>
      </patternFill>
    </fill>
    <fill>
      <patternFill patternType="solid">
        <fgColor rgb="FFC4BDF2"/>
        <bgColor rgb="FFB4D4F0"/>
      </patternFill>
    </fill>
    <fill>
      <patternFill patternType="solid">
        <fgColor rgb="FFF7C0DA"/>
        <bgColor rgb="FFEDB9E8"/>
      </patternFill>
    </fill>
    <fill>
      <patternFill patternType="solid">
        <fgColor rgb="FFD9CDBF"/>
        <bgColor rgb="FFD9D9D9"/>
      </patternFill>
    </fill>
    <fill>
      <patternFill patternType="solid">
        <fgColor theme="4" tint="0.59999389629810485"/>
        <bgColor rgb="FF333333"/>
      </patternFill>
    </fill>
    <fill>
      <patternFill patternType="solid">
        <fgColor rgb="FFFF0000"/>
        <bgColor rgb="FFFBD5A5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rgb="FFEDB9E8"/>
      </patternFill>
    </fill>
    <fill>
      <patternFill patternType="solid">
        <fgColor rgb="FFFFCC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B4B4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14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3" borderId="1" xfId="0" applyFill="1" applyBorder="1"/>
    <xf numFmtId="0" fontId="0" fillId="4" borderId="1" xfId="0" applyFill="1" applyBorder="1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1" xfId="0" applyFill="1" applyBorder="1"/>
    <xf numFmtId="0" fontId="0" fillId="6" borderId="1" xfId="0" applyFill="1" applyBorder="1"/>
    <xf numFmtId="0" fontId="0" fillId="5" borderId="2" xfId="0" applyFill="1" applyBorder="1"/>
    <xf numFmtId="0" fontId="0" fillId="0" borderId="2" xfId="0" applyBorder="1"/>
    <xf numFmtId="10" fontId="0" fillId="0" borderId="1" xfId="0" applyNumberFormat="1" applyBorder="1"/>
    <xf numFmtId="0" fontId="3" fillId="7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3" fillId="10" borderId="3" xfId="0" applyFont="1" applyFill="1" applyBorder="1" applyAlignment="1">
      <alignment horizontal="center" vertical="center" wrapText="1"/>
    </xf>
    <xf numFmtId="0" fontId="3" fillId="11" borderId="3" xfId="0" applyFont="1" applyFill="1" applyBorder="1" applyAlignment="1">
      <alignment horizontal="center" vertical="center" wrapText="1"/>
    </xf>
    <xf numFmtId="0" fontId="3" fillId="12" borderId="3" xfId="0" applyFont="1" applyFill="1" applyBorder="1" applyAlignment="1">
      <alignment horizontal="center" vertical="center" wrapText="1"/>
    </xf>
    <xf numFmtId="0" fontId="3" fillId="13" borderId="3" xfId="0" applyFont="1" applyFill="1" applyBorder="1" applyAlignment="1">
      <alignment horizontal="center" vertical="center" wrapText="1"/>
    </xf>
    <xf numFmtId="0" fontId="3" fillId="14" borderId="3" xfId="0" applyFont="1" applyFill="1" applyBorder="1" applyAlignment="1">
      <alignment horizontal="center" vertical="center" wrapText="1"/>
    </xf>
    <xf numFmtId="0" fontId="3" fillId="15" borderId="3" xfId="0" applyFont="1" applyFill="1" applyBorder="1" applyAlignment="1">
      <alignment horizontal="center" vertical="center" wrapText="1"/>
    </xf>
    <xf numFmtId="0" fontId="3" fillId="16" borderId="3" xfId="0" applyFont="1" applyFill="1" applyBorder="1" applyAlignment="1">
      <alignment horizontal="center" vertical="center" wrapText="1"/>
    </xf>
    <xf numFmtId="0" fontId="3" fillId="17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4" fillId="18" borderId="3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5" fillId="19" borderId="3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center" vertical="center" wrapText="1"/>
    </xf>
    <xf numFmtId="0" fontId="5" fillId="11" borderId="3" xfId="0" applyFont="1" applyFill="1" applyBorder="1" applyAlignment="1">
      <alignment horizontal="center" vertical="center" wrapText="1"/>
    </xf>
    <xf numFmtId="0" fontId="5" fillId="12" borderId="3" xfId="0" applyFont="1" applyFill="1" applyBorder="1" applyAlignment="1">
      <alignment horizontal="center" vertical="center" wrapText="1"/>
    </xf>
    <xf numFmtId="0" fontId="5" fillId="14" borderId="3" xfId="0" applyFont="1" applyFill="1" applyBorder="1" applyAlignment="1">
      <alignment horizontal="center" vertical="center" wrapText="1"/>
    </xf>
    <xf numFmtId="0" fontId="5" fillId="1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21" borderId="3" xfId="0" applyFont="1" applyFill="1" applyBorder="1" applyAlignment="1">
      <alignment horizontal="center" vertical="center"/>
    </xf>
    <xf numFmtId="0" fontId="3" fillId="22" borderId="0" xfId="0" applyFont="1" applyFill="1" applyAlignment="1">
      <alignment vertical="center" wrapText="1"/>
    </xf>
    <xf numFmtId="0" fontId="3" fillId="10" borderId="6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7" fillId="20" borderId="8" xfId="0" applyFont="1" applyFill="1" applyBorder="1" applyAlignment="1">
      <alignment horizontal="center" vertical="center" wrapText="1" readingOrder="1"/>
    </xf>
    <xf numFmtId="0" fontId="7" fillId="20" borderId="9" xfId="0" applyFont="1" applyFill="1" applyBorder="1" applyAlignment="1">
      <alignment horizontal="center" vertical="center" wrapText="1" readingOrder="1"/>
    </xf>
    <xf numFmtId="0" fontId="8" fillId="20" borderId="9" xfId="0" applyFont="1" applyFill="1" applyBorder="1" applyAlignment="1">
      <alignment horizontal="center" vertical="center" wrapText="1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8" borderId="1" xfId="0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0" xfId="0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9" borderId="6" xfId="0" applyFont="1" applyFill="1" applyBorder="1" applyAlignment="1">
      <alignment horizontal="center" vertical="center" wrapText="1"/>
    </xf>
    <xf numFmtId="0" fontId="9" fillId="29" borderId="9" xfId="0" applyFont="1" applyFill="1" applyBorder="1" applyAlignment="1">
      <alignment horizontal="center" vertical="center" wrapText="1" readingOrder="1"/>
    </xf>
    <xf numFmtId="0" fontId="9" fillId="29" borderId="9" xfId="0" applyFont="1" applyFill="1" applyBorder="1" applyAlignment="1">
      <alignment horizontal="center" wrapText="1" readingOrder="1"/>
    </xf>
    <xf numFmtId="0" fontId="0" fillId="29" borderId="0" xfId="0" applyFill="1"/>
    <xf numFmtId="0" fontId="5" fillId="8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5" fillId="7" borderId="7" xfId="0" applyFont="1" applyFill="1" applyBorder="1" applyAlignment="1">
      <alignment horizontal="center" vertical="center" wrapText="1"/>
    </xf>
    <xf numFmtId="0" fontId="1" fillId="0" borderId="0" xfId="1"/>
    <xf numFmtId="0" fontId="0" fillId="0" borderId="1" xfId="0" applyBorder="1" applyAlignment="1">
      <alignment horizontal="center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center" vertical="center" wrapText="1"/>
    </xf>
    <xf numFmtId="0" fontId="3" fillId="8" borderId="3" xfId="0" applyFont="1" applyFill="1" applyBorder="1" applyAlignment="1">
      <alignment horizontal="center" vertical="center" wrapText="1"/>
    </xf>
    <xf numFmtId="0" fontId="2" fillId="9" borderId="3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5" fillId="9" borderId="3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10" borderId="3" xfId="0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3" fillId="10" borderId="3" xfId="0" applyFont="1" applyFill="1" applyBorder="1" applyAlignment="1">
      <alignment horizontal="center" vertical="center" wrapText="1"/>
    </xf>
    <xf numFmtId="0" fontId="3" fillId="10" borderId="4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3" xfId="0" applyFont="1" applyFill="1" applyBorder="1" applyAlignment="1">
      <alignment horizontal="center" vertical="center" wrapText="1"/>
    </xf>
    <xf numFmtId="0" fontId="2" fillId="11" borderId="3" xfId="0" applyFont="1" applyFill="1" applyBorder="1" applyAlignment="1">
      <alignment horizontal="center" vertical="center" wrapText="1"/>
    </xf>
    <xf numFmtId="0" fontId="2" fillId="12" borderId="3" xfId="0" applyFont="1" applyFill="1" applyBorder="1" applyAlignment="1">
      <alignment horizontal="center" vertical="center" wrapText="1"/>
    </xf>
    <xf numFmtId="0" fontId="3" fillId="12" borderId="3" xfId="0" applyFont="1" applyFill="1" applyBorder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center" vertical="center" wrapText="1"/>
    </xf>
    <xf numFmtId="0" fontId="3" fillId="13" borderId="3" xfId="0" applyFont="1" applyFill="1" applyBorder="1" applyAlignment="1">
      <alignment horizontal="center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3" fillId="14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3" fillId="15" borderId="3" xfId="0" applyFont="1" applyFill="1" applyBorder="1" applyAlignment="1">
      <alignment horizontal="center" vertical="center" wrapText="1"/>
    </xf>
    <xf numFmtId="0" fontId="2" fillId="16" borderId="3" xfId="0" applyFont="1" applyFill="1" applyBorder="1" applyAlignment="1">
      <alignment horizontal="center" vertical="center" wrapText="1"/>
    </xf>
    <xf numFmtId="0" fontId="3" fillId="16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3" fillId="17" borderId="3" xfId="0" applyFont="1" applyFill="1" applyBorder="1" applyAlignment="1">
      <alignment horizontal="center" vertical="center" wrapText="1"/>
    </xf>
    <xf numFmtId="0" fontId="3" fillId="11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 wrapText="1"/>
    </xf>
    <xf numFmtId="0" fontId="3" fillId="9" borderId="14" xfId="0" applyFont="1" applyFill="1" applyBorder="1" applyAlignment="1">
      <alignment horizontal="center" vertical="center" wrapText="1"/>
    </xf>
    <xf numFmtId="0" fontId="3" fillId="10" borderId="9" xfId="0" applyFont="1" applyFill="1" applyBorder="1" applyAlignment="1">
      <alignment horizontal="center" vertical="center" wrapText="1"/>
    </xf>
    <xf numFmtId="0" fontId="3" fillId="10" borderId="14" xfId="0" applyFont="1" applyFill="1" applyBorder="1" applyAlignment="1">
      <alignment horizontal="center" vertical="center" wrapText="1"/>
    </xf>
    <xf numFmtId="0" fontId="5" fillId="10" borderId="9" xfId="0" applyFont="1" applyFill="1" applyBorder="1" applyAlignment="1">
      <alignment horizontal="center" vertical="center" wrapText="1"/>
    </xf>
    <xf numFmtId="0" fontId="5" fillId="10" borderId="14" xfId="0" applyFont="1" applyFill="1" applyBorder="1" applyAlignment="1">
      <alignment horizontal="center" vertical="center" wrapText="1"/>
    </xf>
    <xf numFmtId="0" fontId="3" fillId="11" borderId="9" xfId="0" applyFont="1" applyFill="1" applyBorder="1" applyAlignment="1">
      <alignment horizontal="center" vertical="center" wrapText="1"/>
    </xf>
    <xf numFmtId="0" fontId="3" fillId="11" borderId="10" xfId="0" applyFont="1" applyFill="1" applyBorder="1" applyAlignment="1">
      <alignment horizontal="center" vertical="center" wrapText="1"/>
    </xf>
    <xf numFmtId="0" fontId="3" fillId="11" borderId="14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0" fillId="23" borderId="11" xfId="0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4" borderId="13" xfId="0" applyFill="1" applyBorder="1" applyAlignment="1">
      <alignment horizontal="center" vertical="center"/>
    </xf>
    <xf numFmtId="0" fontId="0" fillId="24" borderId="11" xfId="0" applyFill="1" applyBorder="1" applyAlignment="1">
      <alignment horizontal="center" vertical="center"/>
    </xf>
    <xf numFmtId="0" fontId="0" fillId="24" borderId="12" xfId="0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 wrapText="1"/>
    </xf>
    <xf numFmtId="0" fontId="3" fillId="8" borderId="14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4" borderId="0" xfId="0" applyFill="1"/>
    <xf numFmtId="0" fontId="0" fillId="4" borderId="0" xfId="0" applyFill="1" applyBorder="1"/>
    <xf numFmtId="0" fontId="3" fillId="7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 wrapText="1"/>
    </xf>
    <xf numFmtId="0" fontId="3" fillId="8" borderId="7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0" xfId="0" applyBorder="1"/>
    <xf numFmtId="0" fontId="3" fillId="7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CF81263B-1CB1-498C-9B87-C0D4BE5B4006}"/>
  </cellStyles>
  <dxfs count="0"/>
  <tableStyles count="0" defaultTableStyle="TableStyleMedium2" defaultPivotStyle="PivotStyleLight16"/>
  <colors>
    <mruColors>
      <color rgb="FFF8B4B4"/>
      <color rgb="FFFF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Mapa de Empatía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Priorización!$B$1</c:f>
              <c:strCache>
                <c:ptCount val="1"/>
                <c:pt idx="0">
                  <c:v>Comprador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Priorización!$A$2:$A$12</c:f>
              <c:strCache>
                <c:ptCount val="11"/>
                <c:pt idx="0">
                  <c:v>Seguridad</c:v>
                </c:pt>
                <c:pt idx="1">
                  <c:v>Confiabilidad</c:v>
                </c:pt>
                <c:pt idx="2">
                  <c:v>Capacidad para ser auditado</c:v>
                </c:pt>
                <c:pt idx="3">
                  <c:v>Disponibilidad</c:v>
                </c:pt>
                <c:pt idx="4">
                  <c:v>Usabilidad UX</c:v>
                </c:pt>
                <c:pt idx="5">
                  <c:v>Escalabilidad</c:v>
                </c:pt>
                <c:pt idx="6">
                  <c:v>Accesibilidad</c:v>
                </c:pt>
                <c:pt idx="7">
                  <c:v>Rendimiento</c:v>
                </c:pt>
                <c:pt idx="8">
                  <c:v>Interoperabilidad</c:v>
                </c:pt>
                <c:pt idx="9">
                  <c:v>Capacidad</c:v>
                </c:pt>
                <c:pt idx="10">
                  <c:v>Portabilidad</c:v>
                </c:pt>
              </c:strCache>
            </c:strRef>
          </c:cat>
          <c:val>
            <c:numRef>
              <c:f>Priorización!$B$2:$B$12</c:f>
              <c:numCache>
                <c:formatCode>General</c:formatCode>
                <c:ptCount val="11"/>
                <c:pt idx="0">
                  <c:v>11</c:v>
                </c:pt>
                <c:pt idx="1">
                  <c:v>10</c:v>
                </c:pt>
                <c:pt idx="2">
                  <c:v>6</c:v>
                </c:pt>
                <c:pt idx="3">
                  <c:v>9</c:v>
                </c:pt>
                <c:pt idx="4">
                  <c:v>8</c:v>
                </c:pt>
                <c:pt idx="5">
                  <c:v>2</c:v>
                </c:pt>
                <c:pt idx="6">
                  <c:v>4</c:v>
                </c:pt>
                <c:pt idx="7">
                  <c:v>7</c:v>
                </c:pt>
                <c:pt idx="8">
                  <c:v>5</c:v>
                </c:pt>
                <c:pt idx="9">
                  <c:v>3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DD-4FAA-9661-F9692FEB3800}"/>
            </c:ext>
          </c:extLst>
        </c:ser>
        <c:ser>
          <c:idx val="1"/>
          <c:order val="1"/>
          <c:tx>
            <c:strRef>
              <c:f>Priorización!$C$1</c:f>
              <c:strCache>
                <c:ptCount val="1"/>
                <c:pt idx="0">
                  <c:v>Vendedor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Priorización!$A$2:$A$12</c:f>
              <c:strCache>
                <c:ptCount val="11"/>
                <c:pt idx="0">
                  <c:v>Seguridad</c:v>
                </c:pt>
                <c:pt idx="1">
                  <c:v>Confiabilidad</c:v>
                </c:pt>
                <c:pt idx="2">
                  <c:v>Capacidad para ser auditado</c:v>
                </c:pt>
                <c:pt idx="3">
                  <c:v>Disponibilidad</c:v>
                </c:pt>
                <c:pt idx="4">
                  <c:v>Usabilidad UX</c:v>
                </c:pt>
                <c:pt idx="5">
                  <c:v>Escalabilidad</c:v>
                </c:pt>
                <c:pt idx="6">
                  <c:v>Accesibilidad</c:v>
                </c:pt>
                <c:pt idx="7">
                  <c:v>Rendimiento</c:v>
                </c:pt>
                <c:pt idx="8">
                  <c:v>Interoperabilidad</c:v>
                </c:pt>
                <c:pt idx="9">
                  <c:v>Capacidad</c:v>
                </c:pt>
                <c:pt idx="10">
                  <c:v>Portabilidad</c:v>
                </c:pt>
              </c:strCache>
            </c:strRef>
          </c:cat>
          <c:val>
            <c:numRef>
              <c:f>Priorización!$C$2:$C$12</c:f>
              <c:numCache>
                <c:formatCode>General</c:formatCode>
                <c:ptCount val="11"/>
                <c:pt idx="0">
                  <c:v>11</c:v>
                </c:pt>
                <c:pt idx="1">
                  <c:v>10</c:v>
                </c:pt>
                <c:pt idx="2">
                  <c:v>9</c:v>
                </c:pt>
                <c:pt idx="3">
                  <c:v>8</c:v>
                </c:pt>
                <c:pt idx="4">
                  <c:v>5</c:v>
                </c:pt>
                <c:pt idx="5">
                  <c:v>4</c:v>
                </c:pt>
                <c:pt idx="6">
                  <c:v>2</c:v>
                </c:pt>
                <c:pt idx="7">
                  <c:v>6</c:v>
                </c:pt>
                <c:pt idx="8">
                  <c:v>7</c:v>
                </c:pt>
                <c:pt idx="9">
                  <c:v>3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DD-4FAA-9661-F9692FEB3800}"/>
            </c:ext>
          </c:extLst>
        </c:ser>
        <c:ser>
          <c:idx val="2"/>
          <c:order val="2"/>
          <c:tx>
            <c:strRef>
              <c:f>Priorización!$D$1</c:f>
              <c:strCache>
                <c:ptCount val="1"/>
                <c:pt idx="0">
                  <c:v>Administrador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Priorización!$A$2:$A$12</c:f>
              <c:strCache>
                <c:ptCount val="11"/>
                <c:pt idx="0">
                  <c:v>Seguridad</c:v>
                </c:pt>
                <c:pt idx="1">
                  <c:v>Confiabilidad</c:v>
                </c:pt>
                <c:pt idx="2">
                  <c:v>Capacidad para ser auditado</c:v>
                </c:pt>
                <c:pt idx="3">
                  <c:v>Disponibilidad</c:v>
                </c:pt>
                <c:pt idx="4">
                  <c:v>Usabilidad UX</c:v>
                </c:pt>
                <c:pt idx="5">
                  <c:v>Escalabilidad</c:v>
                </c:pt>
                <c:pt idx="6">
                  <c:v>Accesibilidad</c:v>
                </c:pt>
                <c:pt idx="7">
                  <c:v>Rendimiento</c:v>
                </c:pt>
                <c:pt idx="8">
                  <c:v>Interoperabilidad</c:v>
                </c:pt>
                <c:pt idx="9">
                  <c:v>Capacidad</c:v>
                </c:pt>
                <c:pt idx="10">
                  <c:v>Portabilidad</c:v>
                </c:pt>
              </c:strCache>
            </c:strRef>
          </c:cat>
          <c:val>
            <c:numRef>
              <c:f>Priorización!$D$2:$D$12</c:f>
              <c:numCache>
                <c:formatCode>General</c:formatCode>
                <c:ptCount val="11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7</c:v>
                </c:pt>
                <c:pt idx="4">
                  <c:v>5</c:v>
                </c:pt>
                <c:pt idx="5">
                  <c:v>4</c:v>
                </c:pt>
                <c:pt idx="6">
                  <c:v>2</c:v>
                </c:pt>
                <c:pt idx="7">
                  <c:v>6</c:v>
                </c:pt>
                <c:pt idx="8">
                  <c:v>8</c:v>
                </c:pt>
                <c:pt idx="9">
                  <c:v>3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DD-4FAA-9661-F9692FEB3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4979472"/>
        <c:axId val="432998064"/>
      </c:radarChart>
      <c:catAx>
        <c:axId val="84497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32998064"/>
        <c:crosses val="autoZero"/>
        <c:auto val="1"/>
        <c:lblAlgn val="ctr"/>
        <c:lblOffset val="100"/>
        <c:noMultiLvlLbl val="0"/>
      </c:catAx>
      <c:valAx>
        <c:axId val="43299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84497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624840</xdr:colOff>
      <xdr:row>14</xdr:row>
      <xdr:rowOff>72390</xdr:rowOff>
    </xdr:from>
    <xdr:to>
      <xdr:col>7</xdr:col>
      <xdr:colOff>15240</xdr:colOff>
      <xdr:row>31</xdr:row>
      <xdr:rowOff>106680</xdr:rowOff>
    </xdr:to>
    <xdr:graphicFrame macro="">
      <xdr:nvGraphicFramePr>
        <xdr:cNvPr id="23" name="Gráfico 1">
          <a:extLst>
            <a:ext uri="{FF2B5EF4-FFF2-40B4-BE49-F238E27FC236}">
              <a16:creationId xmlns:a16="http://schemas.microsoft.com/office/drawing/2014/main" id="{3E78EB66-8678-5565-43AE-A328588660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49" row="4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A37DF8C-86C0-416A-A6FE-BA436F4237DC}">
  <we:reference id="wa200009404" version="1.0.0.8" store="es-ES" storeType="OMEX"/>
  <we:alternateReferences>
    <we:reference id="wa200009404" version="1.0.0.8" store="wa200009404" storeType="OMEX"/>
  </we:alternateReferences>
  <we:properties>
    <we:property name="claude.fileId" value="&quot;518eee94-321b-405e-a91b-ffa2ab003e4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E5F3AE18-5726-4B62-8A0A-3EAEDF730982}">
  <we:reference id="wa200010725" version="1.0.0.1" store="es-ES" storeType="OMEX"/>
  <we:alternateReferences>
    <we:reference id="WA200010725" version="1.0.0.1" store="WA200010725" storeType="OMEX"/>
  </we:alternateReferences>
  <we:properties>
    <we:property name="claude.fileId" value="&quot;caa92528-cd3b-4f5b-93d0-6d8233440b50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D716C-63C9-47BD-9D74-4DF4E889DADA}">
  <dimension ref="A1:L14"/>
  <sheetViews>
    <sheetView zoomScale="109" zoomScaleNormal="92" workbookViewId="0">
      <selection activeCell="Q9" sqref="Q9"/>
    </sheetView>
  </sheetViews>
  <sheetFormatPr baseColWidth="10" defaultColWidth="10.85546875" defaultRowHeight="15" x14ac:dyDescent="0.25"/>
  <cols>
    <col min="1" max="1" width="27.85546875" bestFit="1" customWidth="1"/>
    <col min="2" max="12" width="4.42578125" customWidth="1"/>
    <col min="14" max="26" width="14.7109375" customWidth="1"/>
  </cols>
  <sheetData>
    <row r="1" spans="1:12" x14ac:dyDescent="0.25">
      <c r="A1" s="1"/>
      <c r="B1" s="71" t="s">
        <v>11</v>
      </c>
      <c r="C1" s="71"/>
      <c r="D1" s="71"/>
      <c r="E1" s="71"/>
      <c r="F1" s="71"/>
      <c r="G1" s="71"/>
      <c r="H1" s="71"/>
      <c r="I1" s="71"/>
      <c r="J1" s="71"/>
      <c r="K1" s="71"/>
      <c r="L1" s="71"/>
    </row>
    <row r="2" spans="1:12" x14ac:dyDescent="0.25">
      <c r="A2" s="4" t="s">
        <v>12</v>
      </c>
      <c r="B2" s="3">
        <v>11</v>
      </c>
      <c r="C2" s="3">
        <v>10</v>
      </c>
      <c r="D2" s="3">
        <v>9</v>
      </c>
      <c r="E2" s="3">
        <v>8</v>
      </c>
      <c r="F2" s="3">
        <v>7</v>
      </c>
      <c r="G2" s="3">
        <v>6</v>
      </c>
      <c r="H2" s="3">
        <v>5</v>
      </c>
      <c r="I2" s="3">
        <v>4</v>
      </c>
      <c r="J2" s="3">
        <v>3</v>
      </c>
      <c r="K2" s="3">
        <v>2</v>
      </c>
      <c r="L2" s="3">
        <v>1</v>
      </c>
    </row>
    <row r="3" spans="1:12" x14ac:dyDescent="0.25">
      <c r="A3" s="3" t="s">
        <v>3</v>
      </c>
      <c r="B3" s="8" t="s">
        <v>13</v>
      </c>
      <c r="C3" s="7"/>
      <c r="D3" s="6"/>
      <c r="E3" s="6"/>
      <c r="F3" s="6"/>
      <c r="G3" s="6"/>
      <c r="H3" s="6"/>
      <c r="I3" s="6"/>
      <c r="J3" s="6"/>
      <c r="K3" s="6"/>
      <c r="L3" s="6"/>
    </row>
    <row r="4" spans="1:12" x14ac:dyDescent="0.25">
      <c r="A4" s="3" t="s">
        <v>5</v>
      </c>
      <c r="B4" s="6"/>
      <c r="C4" s="8" t="s">
        <v>13</v>
      </c>
      <c r="D4" s="7"/>
      <c r="E4" s="6"/>
      <c r="F4" s="6"/>
      <c r="G4" s="6"/>
      <c r="H4" s="6"/>
      <c r="I4" s="6"/>
      <c r="J4" s="6"/>
      <c r="K4" s="6"/>
      <c r="L4" s="6"/>
    </row>
    <row r="5" spans="1:12" x14ac:dyDescent="0.25">
      <c r="A5" s="3" t="s">
        <v>9</v>
      </c>
      <c r="B5" s="6"/>
      <c r="C5" s="6"/>
      <c r="D5" s="8" t="s">
        <v>13</v>
      </c>
      <c r="E5" s="7"/>
      <c r="F5" s="6"/>
      <c r="G5" s="6"/>
      <c r="H5" s="6"/>
      <c r="I5" s="6"/>
      <c r="J5" s="6"/>
      <c r="K5" s="6"/>
      <c r="L5" s="6"/>
    </row>
    <row r="6" spans="1:12" x14ac:dyDescent="0.25">
      <c r="A6" s="3" t="s">
        <v>0</v>
      </c>
      <c r="B6" s="6"/>
      <c r="C6" s="7"/>
      <c r="D6" s="7"/>
      <c r="E6" s="8" t="s">
        <v>13</v>
      </c>
      <c r="F6" s="6"/>
      <c r="G6" s="6"/>
      <c r="H6" s="6"/>
      <c r="I6" s="6"/>
      <c r="J6" s="6"/>
      <c r="K6" s="6"/>
      <c r="L6" s="6"/>
    </row>
    <row r="7" spans="1:12" x14ac:dyDescent="0.25">
      <c r="A7" s="3" t="s">
        <v>7</v>
      </c>
      <c r="B7" s="6"/>
      <c r="C7" s="6"/>
      <c r="D7" s="6"/>
      <c r="E7" s="6"/>
      <c r="F7" s="8" t="s">
        <v>13</v>
      </c>
      <c r="G7" s="6"/>
      <c r="H7" s="6"/>
      <c r="I7" s="6"/>
      <c r="J7" s="6"/>
      <c r="K7" s="6"/>
      <c r="L7" s="6"/>
    </row>
    <row r="8" spans="1:12" x14ac:dyDescent="0.25">
      <c r="A8" s="3" t="s">
        <v>1</v>
      </c>
      <c r="B8" s="6"/>
      <c r="C8" s="6"/>
      <c r="D8" s="6"/>
      <c r="E8" s="6"/>
      <c r="F8" s="7"/>
      <c r="G8" s="8" t="s">
        <v>13</v>
      </c>
      <c r="H8" s="6"/>
      <c r="I8" s="6"/>
      <c r="K8" s="6"/>
      <c r="L8" s="6"/>
    </row>
    <row r="9" spans="1:12" x14ac:dyDescent="0.25">
      <c r="A9" s="3" t="s">
        <v>4</v>
      </c>
      <c r="B9" s="6"/>
      <c r="C9" s="6"/>
      <c r="D9" s="6"/>
      <c r="E9" s="6"/>
      <c r="F9" s="7"/>
      <c r="H9" s="8" t="s">
        <v>13</v>
      </c>
      <c r="I9" s="6"/>
      <c r="J9" s="6"/>
      <c r="K9" s="6"/>
      <c r="L9" s="6"/>
    </row>
    <row r="10" spans="1:12" x14ac:dyDescent="0.25">
      <c r="A10" s="3" t="s">
        <v>2</v>
      </c>
      <c r="B10" s="6"/>
      <c r="C10" s="6"/>
      <c r="D10" s="6"/>
      <c r="E10" s="7"/>
      <c r="F10" s="7"/>
      <c r="G10" s="6"/>
      <c r="I10" s="8" t="s">
        <v>13</v>
      </c>
      <c r="J10" s="6"/>
      <c r="K10" s="6"/>
      <c r="L10" s="6"/>
    </row>
    <row r="11" spans="1:12" x14ac:dyDescent="0.25">
      <c r="A11" s="3" t="s">
        <v>31</v>
      </c>
      <c r="B11" s="6"/>
      <c r="C11" s="6"/>
      <c r="D11" s="6"/>
      <c r="E11" s="6"/>
      <c r="F11" s="7"/>
      <c r="G11" s="6"/>
      <c r="H11" s="6"/>
      <c r="J11" s="8" t="s">
        <v>13</v>
      </c>
      <c r="K11" s="6"/>
      <c r="L11" s="6"/>
    </row>
    <row r="12" spans="1:12" x14ac:dyDescent="0.25">
      <c r="A12" s="3" t="s">
        <v>6</v>
      </c>
      <c r="B12" s="1"/>
      <c r="C12" s="1"/>
      <c r="D12" s="1"/>
      <c r="E12" s="1"/>
      <c r="F12" s="2"/>
      <c r="G12" s="2"/>
      <c r="H12" s="2"/>
      <c r="I12" s="2"/>
      <c r="J12" s="2"/>
      <c r="K12" s="5" t="s">
        <v>13</v>
      </c>
      <c r="L12" s="2"/>
    </row>
    <row r="13" spans="1:12" x14ac:dyDescent="0.25">
      <c r="A13" s="3" t="s">
        <v>8</v>
      </c>
      <c r="B13" s="7"/>
      <c r="C13" s="7"/>
      <c r="D13" s="6"/>
      <c r="E13" s="6"/>
      <c r="F13" s="6"/>
      <c r="G13" s="6"/>
      <c r="H13" s="6"/>
      <c r="I13" s="6"/>
      <c r="J13" s="6"/>
      <c r="K13" s="6"/>
      <c r="L13" s="8" t="s">
        <v>13</v>
      </c>
    </row>
    <row r="14" spans="1:12" x14ac:dyDescent="0.25"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</row>
  </sheetData>
  <mergeCells count="1">
    <mergeCell ref="B1:L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6153-6F1F-42CF-868F-1624E4992FFF}">
  <dimension ref="A1:J13"/>
  <sheetViews>
    <sheetView zoomScale="111" workbookViewId="0">
      <selection activeCell="A2" sqref="A2:A12"/>
    </sheetView>
  </sheetViews>
  <sheetFormatPr baseColWidth="10" defaultColWidth="9.140625" defaultRowHeight="15" x14ac:dyDescent="0.25"/>
  <cols>
    <col min="1" max="1" width="24.140625" bestFit="1" customWidth="1"/>
    <col min="2" max="2" width="12.140625" bestFit="1" customWidth="1"/>
    <col min="3" max="3" width="8.5703125" bestFit="1" customWidth="1"/>
    <col min="4" max="4" width="12.140625" bestFit="1" customWidth="1"/>
    <col min="5" max="5" width="11.85546875" bestFit="1" customWidth="1"/>
    <col min="6" max="6" width="16.28515625" bestFit="1" customWidth="1"/>
    <col min="7" max="7" width="0" hidden="1" customWidth="1"/>
  </cols>
  <sheetData>
    <row r="1" spans="1:10" x14ac:dyDescent="0.25">
      <c r="A1" t="s">
        <v>19</v>
      </c>
      <c r="B1" s="10" t="s">
        <v>16</v>
      </c>
      <c r="C1" s="10" t="s">
        <v>15</v>
      </c>
      <c r="D1" s="12" t="s">
        <v>14</v>
      </c>
      <c r="E1" s="10" t="s">
        <v>17</v>
      </c>
      <c r="F1" s="10" t="s">
        <v>18</v>
      </c>
    </row>
    <row r="2" spans="1:10" x14ac:dyDescent="0.25">
      <c r="A2" s="11" t="s">
        <v>3</v>
      </c>
      <c r="B2" s="1">
        <v>11</v>
      </c>
      <c r="C2" s="1">
        <v>11</v>
      </c>
      <c r="D2" s="13">
        <v>10</v>
      </c>
      <c r="E2" s="1">
        <f>SUM(B2:D2)</f>
        <v>32</v>
      </c>
      <c r="F2" s="14">
        <f>_xlfn.PERCENTOF(E2,E2:E12)</f>
        <v>0.16161616161616163</v>
      </c>
    </row>
    <row r="3" spans="1:10" x14ac:dyDescent="0.25">
      <c r="A3" s="11" t="s">
        <v>5</v>
      </c>
      <c r="B3" s="1">
        <v>10</v>
      </c>
      <c r="C3" s="1">
        <v>10</v>
      </c>
      <c r="D3" s="13">
        <v>9</v>
      </c>
      <c r="E3" s="1">
        <f t="shared" ref="E3:E12" si="0">SUM(B3:D3)</f>
        <v>29</v>
      </c>
      <c r="F3" s="14">
        <f t="shared" ref="F3:F12" si="1">E3/$E$13</f>
        <v>0.14646464646464646</v>
      </c>
    </row>
    <row r="4" spans="1:10" x14ac:dyDescent="0.25">
      <c r="A4" s="11" t="s">
        <v>9</v>
      </c>
      <c r="B4" s="1">
        <v>6</v>
      </c>
      <c r="C4" s="1">
        <v>9</v>
      </c>
      <c r="D4" s="13">
        <v>11</v>
      </c>
      <c r="E4" s="1">
        <f t="shared" si="0"/>
        <v>26</v>
      </c>
      <c r="F4" s="14">
        <f t="shared" si="1"/>
        <v>0.13131313131313133</v>
      </c>
    </row>
    <row r="5" spans="1:10" x14ac:dyDescent="0.25">
      <c r="A5" s="11" t="s">
        <v>0</v>
      </c>
      <c r="B5" s="1">
        <v>9</v>
      </c>
      <c r="C5" s="1">
        <v>8</v>
      </c>
      <c r="D5" s="13">
        <v>7</v>
      </c>
      <c r="E5" s="1">
        <f t="shared" si="0"/>
        <v>24</v>
      </c>
      <c r="F5" s="14">
        <f t="shared" si="1"/>
        <v>0.12121212121212122</v>
      </c>
    </row>
    <row r="6" spans="1:10" x14ac:dyDescent="0.25">
      <c r="A6" s="11" t="s">
        <v>4</v>
      </c>
      <c r="B6" s="1">
        <v>8</v>
      </c>
      <c r="C6" s="1">
        <v>5</v>
      </c>
      <c r="D6" s="13">
        <v>5</v>
      </c>
      <c r="E6" s="1">
        <f t="shared" si="0"/>
        <v>18</v>
      </c>
      <c r="F6" s="14">
        <f t="shared" si="1"/>
        <v>9.0909090909090912E-2</v>
      </c>
    </row>
    <row r="7" spans="1:10" x14ac:dyDescent="0.25">
      <c r="A7" s="11" t="s">
        <v>2</v>
      </c>
      <c r="B7" s="1">
        <v>2</v>
      </c>
      <c r="C7" s="1">
        <v>4</v>
      </c>
      <c r="D7" s="13">
        <v>4</v>
      </c>
      <c r="E7" s="1">
        <f t="shared" si="0"/>
        <v>10</v>
      </c>
      <c r="F7" s="14">
        <f t="shared" si="1"/>
        <v>5.0505050505050504E-2</v>
      </c>
      <c r="J7" t="s">
        <v>21</v>
      </c>
    </row>
    <row r="8" spans="1:10" x14ac:dyDescent="0.25">
      <c r="A8" s="11" t="s">
        <v>6</v>
      </c>
      <c r="B8" s="1">
        <v>4</v>
      </c>
      <c r="C8" s="1">
        <v>2</v>
      </c>
      <c r="D8" s="13">
        <v>2</v>
      </c>
      <c r="E8" s="1">
        <f t="shared" si="0"/>
        <v>8</v>
      </c>
      <c r="F8" s="14">
        <f t="shared" si="1"/>
        <v>4.0404040404040407E-2</v>
      </c>
      <c r="J8" t="s">
        <v>20</v>
      </c>
    </row>
    <row r="9" spans="1:10" x14ac:dyDescent="0.25">
      <c r="A9" s="11" t="s">
        <v>1</v>
      </c>
      <c r="B9" s="1">
        <v>7</v>
      </c>
      <c r="C9" s="1">
        <v>6</v>
      </c>
      <c r="D9" s="13">
        <v>6</v>
      </c>
      <c r="E9" s="1">
        <f t="shared" si="0"/>
        <v>19</v>
      </c>
      <c r="F9" s="14">
        <f t="shared" si="1"/>
        <v>9.5959595959595953E-2</v>
      </c>
      <c r="J9" t="s">
        <v>22</v>
      </c>
    </row>
    <row r="10" spans="1:10" x14ac:dyDescent="0.25">
      <c r="A10" s="11" t="s">
        <v>7</v>
      </c>
      <c r="B10" s="1">
        <v>5</v>
      </c>
      <c r="C10" s="1">
        <v>7</v>
      </c>
      <c r="D10" s="13">
        <v>8</v>
      </c>
      <c r="E10" s="1">
        <f t="shared" si="0"/>
        <v>20</v>
      </c>
      <c r="F10" s="14">
        <f t="shared" si="1"/>
        <v>0.10101010101010101</v>
      </c>
      <c r="J10" t="s">
        <v>23</v>
      </c>
    </row>
    <row r="11" spans="1:10" x14ac:dyDescent="0.25">
      <c r="A11" s="11" t="s">
        <v>10</v>
      </c>
      <c r="B11" s="1">
        <v>3</v>
      </c>
      <c r="C11" s="1">
        <v>3</v>
      </c>
      <c r="D11" s="13">
        <v>3</v>
      </c>
      <c r="E11" s="1">
        <f t="shared" si="0"/>
        <v>9</v>
      </c>
      <c r="F11" s="14">
        <f t="shared" si="1"/>
        <v>4.5454545454545456E-2</v>
      </c>
      <c r="J11" t="s">
        <v>28</v>
      </c>
    </row>
    <row r="12" spans="1:10" x14ac:dyDescent="0.25">
      <c r="A12" s="11" t="s">
        <v>8</v>
      </c>
      <c r="B12" s="1">
        <v>1</v>
      </c>
      <c r="C12" s="1">
        <v>1</v>
      </c>
      <c r="D12" s="13">
        <v>1</v>
      </c>
      <c r="E12" s="1">
        <f t="shared" si="0"/>
        <v>3</v>
      </c>
      <c r="F12" s="14">
        <f t="shared" si="1"/>
        <v>1.5151515151515152E-2</v>
      </c>
    </row>
    <row r="13" spans="1:10" x14ac:dyDescent="0.25">
      <c r="B13" s="1">
        <f>SUM(B2:B12)</f>
        <v>66</v>
      </c>
      <c r="C13" s="1">
        <f>SUM(C2:C12)</f>
        <v>66</v>
      </c>
      <c r="D13" s="1">
        <f>SUM(D2:D12)</f>
        <v>66</v>
      </c>
      <c r="E13" s="1">
        <f>SUM(E2:E12)</f>
        <v>198</v>
      </c>
      <c r="F13" s="14">
        <f>SUM(F2:F12)</f>
        <v>0.99999999999999989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5ED3F-E822-4037-BD32-3062B2CEB49A}">
  <dimension ref="A1:M102"/>
  <sheetViews>
    <sheetView tabSelected="1" zoomScale="79" zoomScaleNormal="95" workbookViewId="0">
      <pane ySplit="1" topLeftCell="A2" activePane="bottomLeft" state="frozen"/>
      <selection activeCell="B1" sqref="B1"/>
      <selection pane="bottomLeft" activeCell="J3" sqref="J3"/>
    </sheetView>
  </sheetViews>
  <sheetFormatPr baseColWidth="10" defaultRowHeight="15" x14ac:dyDescent="0.25"/>
  <cols>
    <col min="1" max="1" width="25" style="9" customWidth="1"/>
    <col min="2" max="2" width="26.5703125" style="9" customWidth="1"/>
    <col min="3" max="3" width="35.5703125" style="9" customWidth="1"/>
    <col min="4" max="4" width="27.7109375" style="9" customWidth="1"/>
    <col min="5" max="5" width="41.85546875" style="9" customWidth="1"/>
    <col min="6" max="6" width="18.85546875" style="9" customWidth="1"/>
    <col min="7" max="7" width="19.7109375" style="9" customWidth="1"/>
    <col min="8" max="8" width="18.42578125" style="9" customWidth="1"/>
    <col min="9" max="9" width="10.140625" style="9" customWidth="1"/>
    <col min="13" max="13" width="27.7109375" customWidth="1"/>
  </cols>
  <sheetData>
    <row r="1" spans="1:13" ht="31.5" x14ac:dyDescent="0.25">
      <c r="A1" s="28" t="s">
        <v>19</v>
      </c>
      <c r="B1" s="28" t="s">
        <v>223</v>
      </c>
      <c r="C1" s="28" t="s">
        <v>224</v>
      </c>
      <c r="D1" s="28" t="s">
        <v>225</v>
      </c>
      <c r="E1" s="28" t="s">
        <v>226</v>
      </c>
      <c r="F1" s="28" t="s">
        <v>16</v>
      </c>
      <c r="G1" s="28" t="s">
        <v>15</v>
      </c>
      <c r="H1" s="28" t="s">
        <v>14</v>
      </c>
      <c r="I1" s="28" t="s">
        <v>35</v>
      </c>
      <c r="M1" s="58" t="s">
        <v>312</v>
      </c>
    </row>
    <row r="2" spans="1:13" ht="135" customHeight="1" x14ac:dyDescent="0.25">
      <c r="A2" s="72" t="s">
        <v>3</v>
      </c>
      <c r="B2" s="73" t="s">
        <v>227</v>
      </c>
      <c r="C2" s="73" t="s">
        <v>228</v>
      </c>
      <c r="D2" s="15" t="s">
        <v>36</v>
      </c>
      <c r="E2" s="15" t="s">
        <v>37</v>
      </c>
      <c r="F2" s="16">
        <v>0</v>
      </c>
      <c r="G2" s="16">
        <v>0</v>
      </c>
      <c r="H2" s="16">
        <v>0</v>
      </c>
      <c r="I2" s="16">
        <f t="shared" ref="I2:I65" si="0">SUM(F2:H2)</f>
        <v>0</v>
      </c>
      <c r="M2" s="59" t="s">
        <v>322</v>
      </c>
    </row>
    <row r="3" spans="1:13" ht="122.25" customHeight="1" x14ac:dyDescent="0.25">
      <c r="A3" s="72"/>
      <c r="B3" s="72"/>
      <c r="C3" s="72"/>
      <c r="D3" s="15" t="s">
        <v>38</v>
      </c>
      <c r="E3" s="29" t="s">
        <v>46</v>
      </c>
      <c r="F3" s="37">
        <v>1</v>
      </c>
      <c r="G3" s="37">
        <v>1</v>
      </c>
      <c r="H3" s="37">
        <v>1</v>
      </c>
      <c r="I3" s="37">
        <f t="shared" si="0"/>
        <v>3</v>
      </c>
      <c r="J3" s="65"/>
    </row>
    <row r="4" spans="1:13" ht="123.75" customHeight="1" x14ac:dyDescent="0.25">
      <c r="A4" s="72"/>
      <c r="B4" s="73"/>
      <c r="C4" s="73"/>
      <c r="D4" s="15" t="s">
        <v>39</v>
      </c>
      <c r="E4" s="15" t="s">
        <v>48</v>
      </c>
      <c r="F4" s="16">
        <v>0</v>
      </c>
      <c r="G4" s="16">
        <v>0</v>
      </c>
      <c r="H4" s="16">
        <v>0</v>
      </c>
      <c r="I4" s="16">
        <f t="shared" si="0"/>
        <v>0</v>
      </c>
    </row>
    <row r="5" spans="1:13" ht="120" customHeight="1" x14ac:dyDescent="0.25">
      <c r="A5" s="72"/>
      <c r="B5" s="73" t="s">
        <v>229</v>
      </c>
      <c r="C5" s="73" t="s">
        <v>230</v>
      </c>
      <c r="D5" s="15" t="s">
        <v>40</v>
      </c>
      <c r="E5" s="15" t="s">
        <v>25</v>
      </c>
      <c r="F5" s="37">
        <v>1</v>
      </c>
      <c r="G5" s="37">
        <v>1</v>
      </c>
      <c r="H5" s="37">
        <v>2</v>
      </c>
      <c r="I5" s="37">
        <f t="shared" si="0"/>
        <v>4</v>
      </c>
    </row>
    <row r="6" spans="1:13" ht="94.5" customHeight="1" x14ac:dyDescent="0.25">
      <c r="A6" s="72"/>
      <c r="B6" s="72"/>
      <c r="C6" s="72"/>
      <c r="D6" s="15" t="s">
        <v>41</v>
      </c>
      <c r="E6" s="15" t="s">
        <v>42</v>
      </c>
      <c r="F6" s="16">
        <v>0</v>
      </c>
      <c r="G6" s="16">
        <v>0</v>
      </c>
      <c r="H6" s="16">
        <v>0</v>
      </c>
      <c r="I6" s="16">
        <f t="shared" si="0"/>
        <v>0</v>
      </c>
    </row>
    <row r="7" spans="1:13" ht="83.25" customHeight="1" x14ac:dyDescent="0.25">
      <c r="A7" s="72"/>
      <c r="B7" s="73"/>
      <c r="C7" s="73"/>
      <c r="D7" s="15" t="s">
        <v>43</v>
      </c>
      <c r="E7" s="15" t="s">
        <v>52</v>
      </c>
      <c r="F7" s="16">
        <v>0</v>
      </c>
      <c r="G7" s="16">
        <v>0</v>
      </c>
      <c r="H7" s="16">
        <v>0</v>
      </c>
      <c r="I7" s="16">
        <f t="shared" si="0"/>
        <v>0</v>
      </c>
    </row>
    <row r="8" spans="1:13" ht="93" customHeight="1" x14ac:dyDescent="0.25">
      <c r="A8" s="72"/>
      <c r="B8" s="73" t="s">
        <v>231</v>
      </c>
      <c r="C8" s="74" t="s">
        <v>232</v>
      </c>
      <c r="D8" s="15" t="s">
        <v>45</v>
      </c>
      <c r="E8" s="29" t="s">
        <v>313</v>
      </c>
      <c r="F8" s="37">
        <v>1</v>
      </c>
      <c r="G8" s="37">
        <v>1</v>
      </c>
      <c r="H8" s="37">
        <v>1</v>
      </c>
      <c r="I8" s="37">
        <f t="shared" si="0"/>
        <v>3</v>
      </c>
    </row>
    <row r="9" spans="1:13" ht="93" customHeight="1" x14ac:dyDescent="0.25">
      <c r="A9" s="72"/>
      <c r="B9" s="72"/>
      <c r="C9" s="72"/>
      <c r="D9" s="15" t="s">
        <v>47</v>
      </c>
      <c r="E9" s="15" t="s">
        <v>24</v>
      </c>
      <c r="F9" s="38">
        <v>0</v>
      </c>
      <c r="G9" s="38">
        <v>1</v>
      </c>
      <c r="H9" s="38">
        <v>1</v>
      </c>
      <c r="I9" s="38">
        <f t="shared" si="0"/>
        <v>2</v>
      </c>
    </row>
    <row r="10" spans="1:13" ht="91.5" customHeight="1" x14ac:dyDescent="0.25">
      <c r="A10" s="72"/>
      <c r="B10" s="73"/>
      <c r="C10" s="73"/>
      <c r="D10" s="15" t="s">
        <v>49</v>
      </c>
      <c r="E10" s="15" t="s">
        <v>44</v>
      </c>
      <c r="F10" s="16">
        <v>0</v>
      </c>
      <c r="G10" s="16">
        <v>0</v>
      </c>
      <c r="H10" s="16">
        <v>0</v>
      </c>
      <c r="I10" s="16">
        <f t="shared" si="0"/>
        <v>0</v>
      </c>
    </row>
    <row r="11" spans="1:13" ht="112.5" customHeight="1" x14ac:dyDescent="0.25">
      <c r="A11" s="72"/>
      <c r="B11" s="15" t="s">
        <v>233</v>
      </c>
      <c r="C11" s="15" t="s">
        <v>234</v>
      </c>
      <c r="D11" s="15" t="s">
        <v>51</v>
      </c>
      <c r="E11" s="29" t="s">
        <v>50</v>
      </c>
      <c r="F11" s="16">
        <v>0</v>
      </c>
      <c r="G11" s="16">
        <v>0</v>
      </c>
      <c r="H11" s="16">
        <v>1</v>
      </c>
      <c r="I11" s="16">
        <f t="shared" si="0"/>
        <v>1</v>
      </c>
    </row>
    <row r="12" spans="1:13" ht="105.75" customHeight="1" x14ac:dyDescent="0.25">
      <c r="A12" s="75" t="s">
        <v>5</v>
      </c>
      <c r="B12" s="76" t="s">
        <v>235</v>
      </c>
      <c r="C12" s="76" t="s">
        <v>236</v>
      </c>
      <c r="D12" s="17" t="s">
        <v>53</v>
      </c>
      <c r="E12" s="17" t="s">
        <v>54</v>
      </c>
      <c r="F12" s="38">
        <v>1</v>
      </c>
      <c r="G12" s="38">
        <v>1</v>
      </c>
      <c r="H12" s="38">
        <v>0</v>
      </c>
      <c r="I12" s="38">
        <f t="shared" si="0"/>
        <v>2</v>
      </c>
    </row>
    <row r="13" spans="1:13" ht="104.25" customHeight="1" x14ac:dyDescent="0.25">
      <c r="A13" s="75"/>
      <c r="B13" s="75"/>
      <c r="C13" s="75"/>
      <c r="D13" s="17" t="s">
        <v>55</v>
      </c>
      <c r="E13" s="17" t="s">
        <v>26</v>
      </c>
      <c r="F13" s="37">
        <v>1</v>
      </c>
      <c r="G13" s="37">
        <v>1</v>
      </c>
      <c r="H13" s="37">
        <v>0</v>
      </c>
      <c r="I13" s="37">
        <f t="shared" si="0"/>
        <v>2</v>
      </c>
      <c r="J13" s="65"/>
    </row>
    <row r="14" spans="1:13" ht="149.25" customHeight="1" x14ac:dyDescent="0.25">
      <c r="A14" s="75"/>
      <c r="B14" s="76"/>
      <c r="C14" s="76"/>
      <c r="D14" s="17" t="s">
        <v>56</v>
      </c>
      <c r="E14" s="17" t="s">
        <v>66</v>
      </c>
      <c r="F14" s="16">
        <v>0</v>
      </c>
      <c r="G14" s="16">
        <v>0</v>
      </c>
      <c r="H14" s="16">
        <v>0</v>
      </c>
      <c r="I14" s="16">
        <f t="shared" si="0"/>
        <v>0</v>
      </c>
    </row>
    <row r="15" spans="1:13" ht="83.25" customHeight="1" x14ac:dyDescent="0.25">
      <c r="A15" s="75"/>
      <c r="B15" s="76" t="s">
        <v>237</v>
      </c>
      <c r="C15" s="76" t="s">
        <v>238</v>
      </c>
      <c r="D15" s="17" t="s">
        <v>57</v>
      </c>
      <c r="E15" s="17" t="s">
        <v>27</v>
      </c>
      <c r="F15" s="16">
        <v>0</v>
      </c>
      <c r="G15" s="16">
        <v>0</v>
      </c>
      <c r="H15" s="16">
        <v>1</v>
      </c>
      <c r="I15" s="16">
        <f t="shared" si="0"/>
        <v>1</v>
      </c>
    </row>
    <row r="16" spans="1:13" ht="82.5" customHeight="1" x14ac:dyDescent="0.25">
      <c r="A16" s="75"/>
      <c r="B16" s="75"/>
      <c r="C16" s="75"/>
      <c r="D16" s="17" t="s">
        <v>59</v>
      </c>
      <c r="E16" s="17" t="s">
        <v>58</v>
      </c>
      <c r="F16" s="38">
        <v>1</v>
      </c>
      <c r="G16" s="38">
        <v>1</v>
      </c>
      <c r="H16" s="38">
        <v>0</v>
      </c>
      <c r="I16" s="38">
        <f t="shared" si="0"/>
        <v>2</v>
      </c>
    </row>
    <row r="17" spans="1:9" ht="71.25" customHeight="1" x14ac:dyDescent="0.25">
      <c r="A17" s="75"/>
      <c r="B17" s="76"/>
      <c r="C17" s="76"/>
      <c r="D17" s="17" t="s">
        <v>61</v>
      </c>
      <c r="E17" s="17" t="s">
        <v>62</v>
      </c>
      <c r="F17" s="38">
        <v>1</v>
      </c>
      <c r="G17" s="38">
        <v>0</v>
      </c>
      <c r="H17" s="38">
        <v>1</v>
      </c>
      <c r="I17" s="38">
        <f t="shared" si="0"/>
        <v>2</v>
      </c>
    </row>
    <row r="18" spans="1:9" ht="87.75" customHeight="1" x14ac:dyDescent="0.25">
      <c r="A18" s="75"/>
      <c r="B18" s="76" t="s">
        <v>239</v>
      </c>
      <c r="C18" s="76" t="s">
        <v>240</v>
      </c>
      <c r="D18" s="17" t="s">
        <v>63</v>
      </c>
      <c r="E18" s="17" t="s">
        <v>60</v>
      </c>
      <c r="F18" s="16">
        <v>0</v>
      </c>
      <c r="G18" s="16">
        <v>0</v>
      </c>
      <c r="H18" s="16">
        <v>0</v>
      </c>
      <c r="I18" s="16">
        <f t="shared" si="0"/>
        <v>0</v>
      </c>
    </row>
    <row r="19" spans="1:9" ht="84.75" customHeight="1" x14ac:dyDescent="0.25">
      <c r="A19" s="75"/>
      <c r="B19" s="75"/>
      <c r="C19" s="75"/>
      <c r="D19" s="17" t="s">
        <v>65</v>
      </c>
      <c r="E19" s="17" t="s">
        <v>64</v>
      </c>
      <c r="F19" s="16">
        <v>0</v>
      </c>
      <c r="G19" s="16">
        <v>0</v>
      </c>
      <c r="H19" s="16">
        <v>0</v>
      </c>
      <c r="I19" s="16">
        <f t="shared" si="0"/>
        <v>0</v>
      </c>
    </row>
    <row r="20" spans="1:9" ht="101.25" customHeight="1" x14ac:dyDescent="0.25">
      <c r="A20" s="75"/>
      <c r="B20" s="75"/>
      <c r="C20" s="75"/>
      <c r="D20" s="17" t="s">
        <v>67</v>
      </c>
      <c r="E20" s="17" t="s">
        <v>68</v>
      </c>
      <c r="F20" s="16">
        <v>0</v>
      </c>
      <c r="G20" s="16">
        <v>0</v>
      </c>
      <c r="H20" s="16">
        <v>0</v>
      </c>
      <c r="I20" s="16">
        <f t="shared" si="0"/>
        <v>0</v>
      </c>
    </row>
    <row r="21" spans="1:9" ht="51" customHeight="1" x14ac:dyDescent="0.25">
      <c r="A21" s="77" t="s">
        <v>69</v>
      </c>
      <c r="B21" s="79" t="s">
        <v>241</v>
      </c>
      <c r="C21" s="80" t="s">
        <v>318</v>
      </c>
      <c r="D21" s="18" t="s">
        <v>70</v>
      </c>
      <c r="E21" s="18" t="s">
        <v>71</v>
      </c>
      <c r="F21" s="37">
        <v>1</v>
      </c>
      <c r="G21" s="37">
        <v>1</v>
      </c>
      <c r="H21" s="37">
        <v>1</v>
      </c>
      <c r="I21" s="37">
        <f t="shared" si="0"/>
        <v>3</v>
      </c>
    </row>
    <row r="22" spans="1:9" ht="56.25" customHeight="1" x14ac:dyDescent="0.25">
      <c r="A22" s="77"/>
      <c r="B22" s="77"/>
      <c r="C22" s="77"/>
      <c r="D22" s="18" t="s">
        <v>72</v>
      </c>
      <c r="E22" s="18" t="s">
        <v>73</v>
      </c>
      <c r="F22" s="16">
        <v>0</v>
      </c>
      <c r="G22" s="16">
        <v>0</v>
      </c>
      <c r="H22" s="16">
        <v>0</v>
      </c>
      <c r="I22" s="16">
        <f t="shared" si="0"/>
        <v>0</v>
      </c>
    </row>
    <row r="23" spans="1:9" ht="94.5" customHeight="1" x14ac:dyDescent="0.25">
      <c r="A23" s="77"/>
      <c r="B23" s="79"/>
      <c r="C23" s="79"/>
      <c r="D23" s="18" t="s">
        <v>74</v>
      </c>
      <c r="E23" s="18" t="s">
        <v>82</v>
      </c>
      <c r="F23" s="37">
        <v>1</v>
      </c>
      <c r="G23" s="37">
        <v>0</v>
      </c>
      <c r="H23" s="37">
        <v>2</v>
      </c>
      <c r="I23" s="37">
        <f t="shared" si="0"/>
        <v>3</v>
      </c>
    </row>
    <row r="24" spans="1:9" ht="86.25" customHeight="1" x14ac:dyDescent="0.25">
      <c r="A24" s="77"/>
      <c r="B24" s="79" t="s">
        <v>242</v>
      </c>
      <c r="C24" s="79" t="s">
        <v>243</v>
      </c>
      <c r="D24" s="18" t="s">
        <v>76</v>
      </c>
      <c r="E24" s="18" t="s">
        <v>75</v>
      </c>
      <c r="F24" s="38">
        <v>0</v>
      </c>
      <c r="G24" s="38">
        <v>1</v>
      </c>
      <c r="H24" s="38">
        <v>1</v>
      </c>
      <c r="I24" s="38">
        <f t="shared" si="0"/>
        <v>2</v>
      </c>
    </row>
    <row r="25" spans="1:9" ht="75" customHeight="1" x14ac:dyDescent="0.25">
      <c r="A25" s="77"/>
      <c r="B25" s="81"/>
      <c r="C25" s="81"/>
      <c r="D25" s="18" t="s">
        <v>77</v>
      </c>
      <c r="E25" s="18" t="s">
        <v>29</v>
      </c>
      <c r="F25" s="16">
        <v>0</v>
      </c>
      <c r="G25" s="16">
        <v>0</v>
      </c>
      <c r="H25" s="16">
        <v>0</v>
      </c>
      <c r="I25" s="16">
        <f t="shared" si="0"/>
        <v>0</v>
      </c>
    </row>
    <row r="26" spans="1:9" ht="70.5" customHeight="1" x14ac:dyDescent="0.25">
      <c r="A26" s="78"/>
      <c r="B26" s="82" t="s">
        <v>244</v>
      </c>
      <c r="C26" s="82" t="s">
        <v>245</v>
      </c>
      <c r="D26" s="62" t="s">
        <v>79</v>
      </c>
      <c r="E26" s="18" t="s">
        <v>78</v>
      </c>
      <c r="F26" s="61">
        <v>0</v>
      </c>
      <c r="G26" s="61">
        <v>0</v>
      </c>
      <c r="H26" s="61">
        <v>0</v>
      </c>
      <c r="I26" s="61">
        <f t="shared" si="0"/>
        <v>0</v>
      </c>
    </row>
    <row r="27" spans="1:9" ht="84.75" customHeight="1" x14ac:dyDescent="0.25">
      <c r="A27" s="78"/>
      <c r="B27" s="82"/>
      <c r="C27" s="82"/>
      <c r="D27" s="62" t="s">
        <v>81</v>
      </c>
      <c r="E27" s="18" t="s">
        <v>84</v>
      </c>
      <c r="F27" s="16">
        <v>0</v>
      </c>
      <c r="G27" s="16">
        <v>0</v>
      </c>
      <c r="H27" s="16">
        <v>0</v>
      </c>
      <c r="I27" s="16">
        <f t="shared" si="0"/>
        <v>0</v>
      </c>
    </row>
    <row r="28" spans="1:9" ht="102" customHeight="1" x14ac:dyDescent="0.25">
      <c r="A28" s="77"/>
      <c r="B28" s="83" t="s">
        <v>246</v>
      </c>
      <c r="C28" s="83" t="s">
        <v>247</v>
      </c>
      <c r="D28" s="18" t="s">
        <v>83</v>
      </c>
      <c r="E28" s="18" t="s">
        <v>80</v>
      </c>
      <c r="F28" s="37">
        <v>1</v>
      </c>
      <c r="G28" s="37">
        <v>1</v>
      </c>
      <c r="H28" s="37">
        <v>1</v>
      </c>
      <c r="I28" s="37">
        <f t="shared" si="0"/>
        <v>3</v>
      </c>
    </row>
    <row r="29" spans="1:9" ht="104.25" customHeight="1" x14ac:dyDescent="0.25">
      <c r="A29" s="77"/>
      <c r="B29" s="77"/>
      <c r="C29" s="77"/>
      <c r="D29" s="18" t="s">
        <v>85</v>
      </c>
      <c r="E29" s="31" t="s">
        <v>314</v>
      </c>
      <c r="F29" s="16">
        <v>0</v>
      </c>
      <c r="G29" s="16">
        <v>0</v>
      </c>
      <c r="H29" s="16">
        <v>0</v>
      </c>
      <c r="I29" s="16">
        <f t="shared" si="0"/>
        <v>0</v>
      </c>
    </row>
    <row r="30" spans="1:9" ht="76.5" customHeight="1" x14ac:dyDescent="0.25">
      <c r="A30" s="84" t="s">
        <v>0</v>
      </c>
      <c r="B30" s="86" t="s">
        <v>248</v>
      </c>
      <c r="C30" s="86" t="s">
        <v>249</v>
      </c>
      <c r="D30" s="19" t="s">
        <v>86</v>
      </c>
      <c r="E30" s="19" t="s">
        <v>89</v>
      </c>
      <c r="F30" s="16">
        <v>0</v>
      </c>
      <c r="G30" s="16">
        <v>0</v>
      </c>
      <c r="H30" s="16">
        <v>0</v>
      </c>
      <c r="I30" s="16">
        <f t="shared" si="0"/>
        <v>0</v>
      </c>
    </row>
    <row r="31" spans="1:9" ht="116.25" customHeight="1" x14ac:dyDescent="0.25">
      <c r="A31" s="84"/>
      <c r="B31" s="84"/>
      <c r="C31" s="84"/>
      <c r="D31" s="19" t="s">
        <v>88</v>
      </c>
      <c r="E31" s="19" t="s">
        <v>95</v>
      </c>
      <c r="F31" s="37">
        <v>1</v>
      </c>
      <c r="G31" s="37">
        <v>1</v>
      </c>
      <c r="H31" s="37">
        <v>1</v>
      </c>
      <c r="I31" s="37">
        <f t="shared" si="0"/>
        <v>3</v>
      </c>
    </row>
    <row r="32" spans="1:9" ht="118.5" customHeight="1" x14ac:dyDescent="0.25">
      <c r="A32" s="84"/>
      <c r="B32" s="86"/>
      <c r="C32" s="86"/>
      <c r="D32" s="19" t="s">
        <v>90</v>
      </c>
      <c r="E32" s="19" t="s">
        <v>97</v>
      </c>
      <c r="F32" s="16">
        <v>0</v>
      </c>
      <c r="G32" s="16">
        <v>0</v>
      </c>
      <c r="H32" s="16">
        <v>0</v>
      </c>
      <c r="I32" s="16">
        <f t="shared" si="0"/>
        <v>0</v>
      </c>
    </row>
    <row r="33" spans="1:10" ht="93" customHeight="1" x14ac:dyDescent="0.25">
      <c r="A33" s="84"/>
      <c r="B33" s="86" t="s">
        <v>250</v>
      </c>
      <c r="C33" s="86" t="s">
        <v>251</v>
      </c>
      <c r="D33" s="19" t="s">
        <v>92</v>
      </c>
      <c r="E33" s="19" t="s">
        <v>91</v>
      </c>
      <c r="F33" s="61">
        <v>0</v>
      </c>
      <c r="G33" s="61">
        <v>0</v>
      </c>
      <c r="H33" s="61">
        <v>0</v>
      </c>
      <c r="I33" s="61">
        <f t="shared" si="0"/>
        <v>0</v>
      </c>
    </row>
    <row r="34" spans="1:10" ht="121.5" customHeight="1" x14ac:dyDescent="0.25">
      <c r="A34" s="84"/>
      <c r="B34" s="87"/>
      <c r="C34" s="87"/>
      <c r="D34" s="19" t="s">
        <v>94</v>
      </c>
      <c r="E34" s="32" t="s">
        <v>93</v>
      </c>
      <c r="F34" s="37">
        <v>1</v>
      </c>
      <c r="G34" s="37">
        <v>1</v>
      </c>
      <c r="H34" s="37">
        <v>1</v>
      </c>
      <c r="I34" s="37">
        <f t="shared" si="0"/>
        <v>3</v>
      </c>
    </row>
    <row r="35" spans="1:10" ht="87.75" customHeight="1" x14ac:dyDescent="0.25">
      <c r="A35" s="85"/>
      <c r="B35" s="88" t="s">
        <v>252</v>
      </c>
      <c r="C35" s="88" t="s">
        <v>253</v>
      </c>
      <c r="D35" s="40" t="s">
        <v>96</v>
      </c>
      <c r="E35" s="19" t="s">
        <v>87</v>
      </c>
      <c r="F35" s="37">
        <v>1</v>
      </c>
      <c r="G35" s="37">
        <v>1</v>
      </c>
      <c r="H35" s="37">
        <v>1</v>
      </c>
      <c r="I35" s="37">
        <f t="shared" si="0"/>
        <v>3</v>
      </c>
    </row>
    <row r="36" spans="1:10" ht="120.75" customHeight="1" x14ac:dyDescent="0.25">
      <c r="A36" s="85"/>
      <c r="B36" s="88"/>
      <c r="C36" s="88"/>
      <c r="D36" s="40" t="s">
        <v>98</v>
      </c>
      <c r="E36" s="19" t="s">
        <v>99</v>
      </c>
      <c r="F36" s="16">
        <v>0</v>
      </c>
      <c r="G36" s="16">
        <v>0</v>
      </c>
      <c r="H36" s="16">
        <v>0</v>
      </c>
      <c r="I36" s="16">
        <f t="shared" si="0"/>
        <v>0</v>
      </c>
    </row>
    <row r="37" spans="1:10" ht="124.5" customHeight="1" x14ac:dyDescent="0.25">
      <c r="A37" s="85"/>
      <c r="B37" s="88"/>
      <c r="C37" s="88"/>
      <c r="D37" s="40" t="s">
        <v>100</v>
      </c>
      <c r="E37" s="19" t="s">
        <v>101</v>
      </c>
      <c r="F37" s="38">
        <v>0</v>
      </c>
      <c r="G37" s="38">
        <v>1</v>
      </c>
      <c r="H37" s="38">
        <v>1</v>
      </c>
      <c r="I37" s="38">
        <f t="shared" si="0"/>
        <v>2</v>
      </c>
    </row>
    <row r="38" spans="1:10" ht="110.25" customHeight="1" x14ac:dyDescent="0.25">
      <c r="A38" s="90" t="s">
        <v>102</v>
      </c>
      <c r="B38" s="93" t="s">
        <v>254</v>
      </c>
      <c r="C38" s="93" t="s">
        <v>255</v>
      </c>
      <c r="D38" s="20" t="s">
        <v>103</v>
      </c>
      <c r="E38" s="20" t="s">
        <v>34</v>
      </c>
      <c r="F38" s="16">
        <v>0</v>
      </c>
      <c r="G38" s="16">
        <v>0</v>
      </c>
      <c r="H38" s="16">
        <v>0</v>
      </c>
      <c r="I38" s="16">
        <f t="shared" si="0"/>
        <v>0</v>
      </c>
    </row>
    <row r="39" spans="1:10" ht="35.25" customHeight="1" x14ac:dyDescent="0.25">
      <c r="A39" s="90"/>
      <c r="B39" s="90"/>
      <c r="C39" s="90"/>
      <c r="D39" s="20" t="s">
        <v>104</v>
      </c>
      <c r="E39" s="20" t="s">
        <v>108</v>
      </c>
      <c r="F39" s="61">
        <v>0</v>
      </c>
      <c r="G39" s="61">
        <v>0</v>
      </c>
      <c r="H39" s="61">
        <v>0</v>
      </c>
      <c r="I39" s="61">
        <f t="shared" si="0"/>
        <v>0</v>
      </c>
    </row>
    <row r="40" spans="1:10" ht="66" customHeight="1" x14ac:dyDescent="0.25">
      <c r="A40" s="90"/>
      <c r="B40" s="89"/>
      <c r="C40" s="89"/>
      <c r="D40" s="20" t="s">
        <v>106</v>
      </c>
      <c r="E40" s="20" t="s">
        <v>110</v>
      </c>
      <c r="F40" s="16">
        <v>0</v>
      </c>
      <c r="G40" s="16">
        <v>0</v>
      </c>
      <c r="H40" s="16">
        <v>1</v>
      </c>
      <c r="I40" s="16">
        <f t="shared" si="0"/>
        <v>1</v>
      </c>
    </row>
    <row r="41" spans="1:10" ht="77.25" customHeight="1" x14ac:dyDescent="0.25">
      <c r="A41" s="90"/>
      <c r="B41" s="89" t="s">
        <v>256</v>
      </c>
      <c r="C41" s="89" t="s">
        <v>257</v>
      </c>
      <c r="D41" s="20" t="s">
        <v>107</v>
      </c>
      <c r="E41" s="20" t="s">
        <v>118</v>
      </c>
      <c r="F41" s="37">
        <v>1</v>
      </c>
      <c r="G41" s="37">
        <v>1</v>
      </c>
      <c r="H41" s="37">
        <v>1</v>
      </c>
      <c r="I41" s="37">
        <f t="shared" si="0"/>
        <v>3</v>
      </c>
      <c r="J41" s="65"/>
    </row>
    <row r="42" spans="1:10" ht="84" customHeight="1" x14ac:dyDescent="0.25">
      <c r="A42" s="90"/>
      <c r="B42" s="90"/>
      <c r="C42" s="90"/>
      <c r="D42" s="20" t="s">
        <v>109</v>
      </c>
      <c r="E42" s="20" t="s">
        <v>121</v>
      </c>
      <c r="F42" s="38">
        <v>1</v>
      </c>
      <c r="G42" s="38">
        <v>1</v>
      </c>
      <c r="H42" s="38">
        <v>0</v>
      </c>
      <c r="I42" s="38">
        <f t="shared" si="0"/>
        <v>2</v>
      </c>
    </row>
    <row r="43" spans="1:10" ht="67.5" customHeight="1" x14ac:dyDescent="0.25">
      <c r="A43" s="90"/>
      <c r="B43" s="90"/>
      <c r="C43" s="90"/>
      <c r="D43" s="20" t="s">
        <v>111</v>
      </c>
      <c r="E43" s="20" t="s">
        <v>123</v>
      </c>
      <c r="F43" s="37">
        <v>1</v>
      </c>
      <c r="G43" s="37">
        <v>1</v>
      </c>
      <c r="H43" s="37">
        <v>1</v>
      </c>
      <c r="I43" s="37">
        <f t="shared" si="0"/>
        <v>3</v>
      </c>
    </row>
    <row r="44" spans="1:10" ht="93.75" customHeight="1" x14ac:dyDescent="0.25">
      <c r="A44" s="90"/>
      <c r="B44" s="89"/>
      <c r="C44" s="89"/>
      <c r="D44" s="20" t="s">
        <v>113</v>
      </c>
      <c r="E44" s="33" t="s">
        <v>319</v>
      </c>
      <c r="F44" s="16">
        <v>1</v>
      </c>
      <c r="G44" s="16">
        <v>0</v>
      </c>
      <c r="H44" s="16">
        <v>0</v>
      </c>
      <c r="I44" s="16">
        <f t="shared" si="0"/>
        <v>1</v>
      </c>
    </row>
    <row r="45" spans="1:10" ht="78" customHeight="1" x14ac:dyDescent="0.25">
      <c r="A45" s="90"/>
      <c r="B45" s="89" t="s">
        <v>258</v>
      </c>
      <c r="C45" s="89" t="s">
        <v>259</v>
      </c>
      <c r="D45" s="20" t="s">
        <v>115</v>
      </c>
      <c r="E45" s="33" t="s">
        <v>105</v>
      </c>
      <c r="F45" s="16">
        <v>0</v>
      </c>
      <c r="G45" s="16">
        <v>0</v>
      </c>
      <c r="H45" s="16">
        <v>0</v>
      </c>
      <c r="I45" s="16">
        <f t="shared" si="0"/>
        <v>0</v>
      </c>
    </row>
    <row r="46" spans="1:10" ht="62.25" customHeight="1" x14ac:dyDescent="0.25">
      <c r="A46" s="90"/>
      <c r="B46" s="90"/>
      <c r="C46" s="90"/>
      <c r="D46" s="104" t="s">
        <v>117</v>
      </c>
      <c r="E46" s="104" t="s">
        <v>112</v>
      </c>
      <c r="F46" s="105">
        <v>1</v>
      </c>
      <c r="G46" s="105">
        <v>1</v>
      </c>
      <c r="H46" s="105">
        <v>1</v>
      </c>
      <c r="I46" s="105">
        <f t="shared" si="0"/>
        <v>3</v>
      </c>
    </row>
    <row r="47" spans="1:10" ht="51.75" customHeight="1" x14ac:dyDescent="0.25">
      <c r="A47" s="90"/>
      <c r="B47" s="89"/>
      <c r="C47" s="89"/>
      <c r="D47" s="93"/>
      <c r="E47" s="93"/>
      <c r="F47" s="106"/>
      <c r="G47" s="106"/>
      <c r="H47" s="106"/>
      <c r="I47" s="106"/>
    </row>
    <row r="48" spans="1:10" ht="96" customHeight="1" x14ac:dyDescent="0.25">
      <c r="A48" s="90"/>
      <c r="B48" s="89" t="s">
        <v>260</v>
      </c>
      <c r="C48" s="89" t="s">
        <v>261</v>
      </c>
      <c r="D48" s="20" t="s">
        <v>119</v>
      </c>
      <c r="E48" s="33" t="s">
        <v>315</v>
      </c>
      <c r="F48" s="16">
        <v>0</v>
      </c>
      <c r="G48" s="16">
        <v>0</v>
      </c>
      <c r="H48" s="16">
        <v>0</v>
      </c>
      <c r="I48" s="16">
        <f t="shared" si="0"/>
        <v>0</v>
      </c>
    </row>
    <row r="49" spans="1:9" ht="117.75" customHeight="1" x14ac:dyDescent="0.25">
      <c r="A49" s="90"/>
      <c r="B49" s="89"/>
      <c r="C49" s="89"/>
      <c r="D49" s="20" t="s">
        <v>120</v>
      </c>
      <c r="E49" s="20" t="s">
        <v>126</v>
      </c>
      <c r="F49" s="16">
        <v>0</v>
      </c>
      <c r="G49" s="16">
        <v>0</v>
      </c>
      <c r="H49" s="16">
        <v>0</v>
      </c>
      <c r="I49" s="16">
        <f t="shared" si="0"/>
        <v>0</v>
      </c>
    </row>
    <row r="50" spans="1:9" ht="117.75" customHeight="1" x14ac:dyDescent="0.25">
      <c r="A50" s="90"/>
      <c r="B50" s="89" t="s">
        <v>262</v>
      </c>
      <c r="C50" s="89" t="s">
        <v>263</v>
      </c>
      <c r="D50" s="20" t="s">
        <v>122</v>
      </c>
      <c r="E50" s="20" t="s">
        <v>30</v>
      </c>
      <c r="F50" s="38">
        <v>1</v>
      </c>
      <c r="G50" s="38">
        <v>1</v>
      </c>
      <c r="H50" s="38">
        <v>0</v>
      </c>
      <c r="I50" s="38">
        <f t="shared" si="0"/>
        <v>2</v>
      </c>
    </row>
    <row r="51" spans="1:9" ht="73.5" customHeight="1" x14ac:dyDescent="0.25">
      <c r="A51" s="90"/>
      <c r="B51" s="90"/>
      <c r="C51" s="90"/>
      <c r="D51" s="20" t="s">
        <v>124</v>
      </c>
      <c r="E51" s="20" t="s">
        <v>114</v>
      </c>
      <c r="F51" s="16">
        <v>0</v>
      </c>
      <c r="G51" s="16">
        <v>0</v>
      </c>
      <c r="H51" s="16">
        <v>0</v>
      </c>
      <c r="I51" s="16">
        <f t="shared" si="0"/>
        <v>0</v>
      </c>
    </row>
    <row r="52" spans="1:9" ht="95.25" customHeight="1" x14ac:dyDescent="0.25">
      <c r="A52" s="90"/>
      <c r="B52" s="90"/>
      <c r="C52" s="90"/>
      <c r="D52" s="20" t="s">
        <v>125</v>
      </c>
      <c r="E52" s="20" t="s">
        <v>116</v>
      </c>
      <c r="F52" s="38">
        <v>1</v>
      </c>
      <c r="G52" s="38">
        <v>1</v>
      </c>
      <c r="H52" s="38">
        <v>0</v>
      </c>
      <c r="I52" s="38">
        <f t="shared" si="0"/>
        <v>2</v>
      </c>
    </row>
    <row r="53" spans="1:9" ht="89.25" customHeight="1" x14ac:dyDescent="0.25">
      <c r="A53" s="91" t="s">
        <v>2</v>
      </c>
      <c r="B53" s="92" t="s">
        <v>264</v>
      </c>
      <c r="C53" s="92" t="s">
        <v>265</v>
      </c>
      <c r="D53" s="21" t="s">
        <v>127</v>
      </c>
      <c r="E53" s="34" t="s">
        <v>316</v>
      </c>
      <c r="F53" s="16">
        <v>0</v>
      </c>
      <c r="G53" s="16">
        <v>0</v>
      </c>
      <c r="H53" s="16">
        <v>0</v>
      </c>
      <c r="I53" s="16">
        <f t="shared" si="0"/>
        <v>0</v>
      </c>
    </row>
    <row r="54" spans="1:9" ht="87" customHeight="1" x14ac:dyDescent="0.25">
      <c r="A54" s="91"/>
      <c r="B54" s="92"/>
      <c r="C54" s="92"/>
      <c r="D54" s="21" t="s">
        <v>128</v>
      </c>
      <c r="E54" s="21" t="s">
        <v>137</v>
      </c>
      <c r="F54" s="16">
        <v>0</v>
      </c>
      <c r="G54" s="16">
        <v>0</v>
      </c>
      <c r="H54" s="16">
        <v>0</v>
      </c>
      <c r="I54" s="16">
        <f t="shared" si="0"/>
        <v>0</v>
      </c>
    </row>
    <row r="55" spans="1:9" ht="66" customHeight="1" x14ac:dyDescent="0.25">
      <c r="A55" s="91"/>
      <c r="B55" s="21" t="s">
        <v>266</v>
      </c>
      <c r="C55" s="21" t="s">
        <v>267</v>
      </c>
      <c r="D55" s="21" t="s">
        <v>130</v>
      </c>
      <c r="E55" s="21" t="s">
        <v>129</v>
      </c>
      <c r="F55" s="38">
        <v>0</v>
      </c>
      <c r="G55" s="38">
        <v>1</v>
      </c>
      <c r="H55" s="38">
        <v>1</v>
      </c>
      <c r="I55" s="38">
        <f t="shared" si="0"/>
        <v>2</v>
      </c>
    </row>
    <row r="56" spans="1:9" ht="79.5" customHeight="1" x14ac:dyDescent="0.25">
      <c r="A56" s="91"/>
      <c r="B56" s="92" t="s">
        <v>268</v>
      </c>
      <c r="C56" s="92" t="s">
        <v>269</v>
      </c>
      <c r="D56" s="21" t="s">
        <v>132</v>
      </c>
      <c r="E56" s="34" t="s">
        <v>133</v>
      </c>
      <c r="F56" s="16">
        <v>0</v>
      </c>
      <c r="G56" s="16">
        <v>0</v>
      </c>
      <c r="H56" s="16">
        <v>0</v>
      </c>
      <c r="I56" s="16">
        <f t="shared" si="0"/>
        <v>0</v>
      </c>
    </row>
    <row r="57" spans="1:9" ht="85.5" customHeight="1" x14ac:dyDescent="0.25">
      <c r="A57" s="91"/>
      <c r="B57" s="92"/>
      <c r="C57" s="92"/>
      <c r="D57" s="21" t="s">
        <v>134</v>
      </c>
      <c r="E57" s="21" t="s">
        <v>135</v>
      </c>
      <c r="F57" s="16">
        <v>0</v>
      </c>
      <c r="G57" s="16">
        <v>0</v>
      </c>
      <c r="H57" s="16">
        <v>0</v>
      </c>
      <c r="I57" s="16">
        <f t="shared" si="0"/>
        <v>0</v>
      </c>
    </row>
    <row r="58" spans="1:9" ht="102" customHeight="1" x14ac:dyDescent="0.25">
      <c r="A58" s="91"/>
      <c r="B58" s="21" t="s">
        <v>270</v>
      </c>
      <c r="C58" s="21" t="s">
        <v>271</v>
      </c>
      <c r="D58" s="21" t="s">
        <v>136</v>
      </c>
      <c r="E58" s="21" t="s">
        <v>131</v>
      </c>
      <c r="F58" s="16">
        <v>0</v>
      </c>
      <c r="G58" s="16">
        <v>0</v>
      </c>
      <c r="H58" s="16">
        <v>1</v>
      </c>
      <c r="I58" s="16">
        <f t="shared" si="0"/>
        <v>1</v>
      </c>
    </row>
    <row r="59" spans="1:9" ht="67.5" customHeight="1" x14ac:dyDescent="0.25">
      <c r="A59" s="94" t="s">
        <v>6</v>
      </c>
      <c r="B59" s="22" t="s">
        <v>272</v>
      </c>
      <c r="C59" s="22" t="s">
        <v>273</v>
      </c>
      <c r="D59" s="22" t="s">
        <v>138</v>
      </c>
      <c r="E59" s="22" t="s">
        <v>139</v>
      </c>
      <c r="F59" s="16">
        <v>0</v>
      </c>
      <c r="G59" s="16">
        <v>0</v>
      </c>
      <c r="H59" s="16">
        <v>0</v>
      </c>
      <c r="I59" s="16">
        <f t="shared" si="0"/>
        <v>0</v>
      </c>
    </row>
    <row r="60" spans="1:9" ht="49.5" customHeight="1" x14ac:dyDescent="0.25">
      <c r="A60" s="94"/>
      <c r="B60" s="95" t="s">
        <v>274</v>
      </c>
      <c r="C60" s="95" t="s">
        <v>275</v>
      </c>
      <c r="D60" s="22" t="s">
        <v>140</v>
      </c>
      <c r="E60" s="22" t="s">
        <v>141</v>
      </c>
      <c r="F60" s="16">
        <v>0</v>
      </c>
      <c r="G60" s="16">
        <v>0</v>
      </c>
      <c r="H60" s="16">
        <v>0</v>
      </c>
      <c r="I60" s="16">
        <f t="shared" si="0"/>
        <v>0</v>
      </c>
    </row>
    <row r="61" spans="1:9" ht="78.75" customHeight="1" x14ac:dyDescent="0.25">
      <c r="A61" s="94"/>
      <c r="B61" s="95"/>
      <c r="C61" s="95"/>
      <c r="D61" s="22" t="s">
        <v>142</v>
      </c>
      <c r="E61" s="22" t="s">
        <v>155</v>
      </c>
      <c r="F61" s="16">
        <v>0</v>
      </c>
      <c r="G61" s="16">
        <v>0</v>
      </c>
      <c r="H61" s="16">
        <v>0</v>
      </c>
      <c r="I61" s="16">
        <f t="shared" si="0"/>
        <v>0</v>
      </c>
    </row>
    <row r="62" spans="1:9" ht="63" customHeight="1" x14ac:dyDescent="0.25">
      <c r="A62" s="94"/>
      <c r="B62" s="95" t="s">
        <v>276</v>
      </c>
      <c r="C62" s="95" t="s">
        <v>277</v>
      </c>
      <c r="D62" s="22" t="s">
        <v>144</v>
      </c>
      <c r="E62" s="22" t="s">
        <v>145</v>
      </c>
      <c r="F62" s="16">
        <v>0</v>
      </c>
      <c r="G62" s="16">
        <v>0</v>
      </c>
      <c r="H62" s="16">
        <v>0</v>
      </c>
      <c r="I62" s="16">
        <f t="shared" si="0"/>
        <v>0</v>
      </c>
    </row>
    <row r="63" spans="1:9" ht="63" customHeight="1" x14ac:dyDescent="0.25">
      <c r="A63" s="94"/>
      <c r="B63" s="94"/>
      <c r="C63" s="94"/>
      <c r="D63" s="22" t="s">
        <v>146</v>
      </c>
      <c r="E63" s="22" t="s">
        <v>149</v>
      </c>
      <c r="F63" s="16">
        <v>0</v>
      </c>
      <c r="G63" s="16">
        <v>0</v>
      </c>
      <c r="H63" s="16">
        <v>0</v>
      </c>
      <c r="I63" s="16">
        <f t="shared" si="0"/>
        <v>0</v>
      </c>
    </row>
    <row r="64" spans="1:9" ht="66" customHeight="1" x14ac:dyDescent="0.25">
      <c r="A64" s="94"/>
      <c r="B64" s="95"/>
      <c r="C64" s="95"/>
      <c r="D64" s="22" t="s">
        <v>148</v>
      </c>
      <c r="E64" s="22" t="s">
        <v>151</v>
      </c>
      <c r="F64" s="16">
        <v>0</v>
      </c>
      <c r="G64" s="16">
        <v>0</v>
      </c>
      <c r="H64" s="16">
        <v>0</v>
      </c>
      <c r="I64" s="16">
        <f t="shared" si="0"/>
        <v>0</v>
      </c>
    </row>
    <row r="65" spans="1:9" ht="55.5" customHeight="1" x14ac:dyDescent="0.25">
      <c r="A65" s="94"/>
      <c r="B65" s="95" t="s">
        <v>278</v>
      </c>
      <c r="C65" s="95" t="s">
        <v>279</v>
      </c>
      <c r="D65" s="22" t="s">
        <v>150</v>
      </c>
      <c r="E65" s="22" t="s">
        <v>143</v>
      </c>
      <c r="F65" s="16">
        <v>0</v>
      </c>
      <c r="G65" s="16">
        <v>0</v>
      </c>
      <c r="H65" s="16">
        <v>0</v>
      </c>
      <c r="I65" s="16">
        <f t="shared" si="0"/>
        <v>0</v>
      </c>
    </row>
    <row r="66" spans="1:9" ht="67.5" customHeight="1" x14ac:dyDescent="0.25">
      <c r="A66" s="94"/>
      <c r="B66" s="94"/>
      <c r="C66" s="94"/>
      <c r="D66" s="22" t="s">
        <v>152</v>
      </c>
      <c r="E66" s="22" t="s">
        <v>147</v>
      </c>
      <c r="F66" s="16">
        <v>0</v>
      </c>
      <c r="G66" s="16">
        <v>0</v>
      </c>
      <c r="H66" s="16">
        <v>0</v>
      </c>
      <c r="I66" s="16">
        <f t="shared" ref="I66:I101" si="1">SUM(F66:H66)</f>
        <v>0</v>
      </c>
    </row>
    <row r="67" spans="1:9" ht="42.75" x14ac:dyDescent="0.25">
      <c r="A67" s="94"/>
      <c r="B67" s="94"/>
      <c r="C67" s="94"/>
      <c r="D67" s="22" t="s">
        <v>154</v>
      </c>
      <c r="E67" s="22" t="s">
        <v>153</v>
      </c>
      <c r="F67" s="16">
        <v>0</v>
      </c>
      <c r="G67" s="16">
        <v>0</v>
      </c>
      <c r="H67" s="16">
        <v>0</v>
      </c>
      <c r="I67" s="16">
        <f t="shared" si="1"/>
        <v>0</v>
      </c>
    </row>
    <row r="68" spans="1:9" ht="57" x14ac:dyDescent="0.25">
      <c r="A68" s="96" t="s">
        <v>1</v>
      </c>
      <c r="B68" s="97" t="s">
        <v>280</v>
      </c>
      <c r="C68" s="97" t="s">
        <v>281</v>
      </c>
      <c r="D68" s="23" t="s">
        <v>156</v>
      </c>
      <c r="E68" s="23" t="s">
        <v>32</v>
      </c>
      <c r="F68" s="38">
        <v>1</v>
      </c>
      <c r="G68" s="38">
        <v>1</v>
      </c>
      <c r="H68" s="38">
        <v>0</v>
      </c>
      <c r="I68" s="38">
        <f t="shared" si="1"/>
        <v>2</v>
      </c>
    </row>
    <row r="69" spans="1:9" ht="42.75" x14ac:dyDescent="0.25">
      <c r="A69" s="96"/>
      <c r="B69" s="96"/>
      <c r="C69" s="96"/>
      <c r="D69" s="23" t="s">
        <v>157</v>
      </c>
      <c r="E69" s="23" t="s">
        <v>163</v>
      </c>
      <c r="F69" s="16">
        <v>1</v>
      </c>
      <c r="G69" s="16">
        <v>0</v>
      </c>
      <c r="H69" s="16">
        <v>0</v>
      </c>
      <c r="I69" s="16">
        <f t="shared" si="1"/>
        <v>1</v>
      </c>
    </row>
    <row r="70" spans="1:9" ht="57" x14ac:dyDescent="0.25">
      <c r="A70" s="96"/>
      <c r="B70" s="97"/>
      <c r="C70" s="97"/>
      <c r="D70" s="23" t="s">
        <v>158</v>
      </c>
      <c r="E70" s="23" t="s">
        <v>171</v>
      </c>
      <c r="F70" s="16">
        <v>1</v>
      </c>
      <c r="G70" s="16">
        <v>0</v>
      </c>
      <c r="H70" s="16">
        <v>0</v>
      </c>
      <c r="I70" s="16">
        <f t="shared" si="1"/>
        <v>1</v>
      </c>
    </row>
    <row r="71" spans="1:9" ht="42.75" x14ac:dyDescent="0.25">
      <c r="A71" s="96"/>
      <c r="B71" s="97" t="s">
        <v>282</v>
      </c>
      <c r="C71" s="97" t="s">
        <v>283</v>
      </c>
      <c r="D71" s="23" t="s">
        <v>160</v>
      </c>
      <c r="E71" s="23" t="s">
        <v>33</v>
      </c>
      <c r="F71" s="38">
        <v>1</v>
      </c>
      <c r="G71" s="38">
        <v>1</v>
      </c>
      <c r="H71" s="38">
        <v>0</v>
      </c>
      <c r="I71" s="38">
        <f t="shared" si="1"/>
        <v>2</v>
      </c>
    </row>
    <row r="72" spans="1:9" ht="42.75" x14ac:dyDescent="0.25">
      <c r="A72" s="96"/>
      <c r="B72" s="96"/>
      <c r="C72" s="96"/>
      <c r="D72" s="23" t="s">
        <v>162</v>
      </c>
      <c r="E72" s="23" t="s">
        <v>159</v>
      </c>
      <c r="F72" s="16">
        <v>0</v>
      </c>
      <c r="G72" s="16">
        <v>0</v>
      </c>
      <c r="H72" s="16">
        <v>0</v>
      </c>
      <c r="I72" s="16">
        <f t="shared" si="1"/>
        <v>0</v>
      </c>
    </row>
    <row r="73" spans="1:9" ht="71.25" x14ac:dyDescent="0.25">
      <c r="A73" s="96"/>
      <c r="B73" s="96"/>
      <c r="C73" s="96"/>
      <c r="D73" s="23" t="s">
        <v>164</v>
      </c>
      <c r="E73" s="23" t="s">
        <v>165</v>
      </c>
      <c r="F73" s="16">
        <v>0</v>
      </c>
      <c r="G73" s="16">
        <v>0</v>
      </c>
      <c r="H73" s="16">
        <v>0</v>
      </c>
      <c r="I73" s="16">
        <f t="shared" si="1"/>
        <v>0</v>
      </c>
    </row>
    <row r="74" spans="1:9" ht="57" x14ac:dyDescent="0.25">
      <c r="A74" s="96"/>
      <c r="B74" s="97"/>
      <c r="C74" s="97"/>
      <c r="D74" s="23" t="s">
        <v>166</v>
      </c>
      <c r="E74" s="23" t="s">
        <v>167</v>
      </c>
      <c r="F74" s="16">
        <v>0</v>
      </c>
      <c r="G74" s="16">
        <v>0</v>
      </c>
      <c r="H74" s="16">
        <v>0</v>
      </c>
      <c r="I74" s="16">
        <f t="shared" si="1"/>
        <v>0</v>
      </c>
    </row>
    <row r="75" spans="1:9" ht="57" x14ac:dyDescent="0.25">
      <c r="A75" s="96"/>
      <c r="B75" s="97" t="s">
        <v>284</v>
      </c>
      <c r="C75" s="97" t="s">
        <v>285</v>
      </c>
      <c r="D75" s="23" t="s">
        <v>168</v>
      </c>
      <c r="E75" s="35" t="s">
        <v>169</v>
      </c>
      <c r="F75" s="16">
        <v>0</v>
      </c>
      <c r="G75" s="16">
        <v>0</v>
      </c>
      <c r="H75" s="16">
        <v>0</v>
      </c>
      <c r="I75" s="16">
        <f t="shared" si="1"/>
        <v>0</v>
      </c>
    </row>
    <row r="76" spans="1:9" ht="57" x14ac:dyDescent="0.25">
      <c r="A76" s="96"/>
      <c r="B76" s="97"/>
      <c r="C76" s="97"/>
      <c r="D76" s="23" t="s">
        <v>170</v>
      </c>
      <c r="E76" s="35" t="s">
        <v>173</v>
      </c>
      <c r="F76" s="16">
        <v>0</v>
      </c>
      <c r="G76" s="16">
        <v>0</v>
      </c>
      <c r="H76" s="16">
        <v>0</v>
      </c>
      <c r="I76" s="16">
        <f t="shared" si="1"/>
        <v>0</v>
      </c>
    </row>
    <row r="77" spans="1:9" ht="42.75" x14ac:dyDescent="0.25">
      <c r="A77" s="96"/>
      <c r="B77" s="23" t="s">
        <v>286</v>
      </c>
      <c r="C77" s="23" t="s">
        <v>287</v>
      </c>
      <c r="D77" s="23" t="s">
        <v>172</v>
      </c>
      <c r="E77" s="23" t="s">
        <v>161</v>
      </c>
      <c r="F77" s="38">
        <v>1</v>
      </c>
      <c r="G77" s="38">
        <v>1</v>
      </c>
      <c r="H77" s="38">
        <v>0</v>
      </c>
      <c r="I77" s="38">
        <f t="shared" si="1"/>
        <v>2</v>
      </c>
    </row>
    <row r="78" spans="1:9" ht="57" x14ac:dyDescent="0.25">
      <c r="A78" s="96"/>
      <c r="B78" s="23" t="s">
        <v>288</v>
      </c>
      <c r="C78" s="23" t="s">
        <v>289</v>
      </c>
      <c r="D78" s="23" t="s">
        <v>174</v>
      </c>
      <c r="E78" s="23" t="s">
        <v>175</v>
      </c>
      <c r="F78" s="16">
        <v>0</v>
      </c>
      <c r="G78" s="16">
        <v>0</v>
      </c>
      <c r="H78" s="16">
        <v>0</v>
      </c>
      <c r="I78" s="16">
        <f t="shared" si="1"/>
        <v>0</v>
      </c>
    </row>
    <row r="79" spans="1:9" ht="42.75" x14ac:dyDescent="0.25">
      <c r="A79" s="98" t="s">
        <v>7</v>
      </c>
      <c r="B79" s="99" t="s">
        <v>290</v>
      </c>
      <c r="C79" s="99" t="s">
        <v>291</v>
      </c>
      <c r="D79" s="24" t="s">
        <v>176</v>
      </c>
      <c r="E79" s="24" t="s">
        <v>177</v>
      </c>
      <c r="F79" s="16">
        <v>0</v>
      </c>
      <c r="G79" s="16">
        <v>0</v>
      </c>
      <c r="H79" s="16">
        <v>0</v>
      </c>
      <c r="I79" s="16">
        <f t="shared" si="1"/>
        <v>0</v>
      </c>
    </row>
    <row r="80" spans="1:9" ht="85.5" x14ac:dyDescent="0.25">
      <c r="A80" s="98"/>
      <c r="B80" s="98"/>
      <c r="C80" s="98"/>
      <c r="D80" s="24" t="s">
        <v>178</v>
      </c>
      <c r="E80" s="24" t="s">
        <v>179</v>
      </c>
      <c r="F80" s="16">
        <v>0</v>
      </c>
      <c r="G80" s="16">
        <v>0</v>
      </c>
      <c r="H80" s="16">
        <v>1</v>
      </c>
      <c r="I80" s="16">
        <f t="shared" si="1"/>
        <v>1</v>
      </c>
    </row>
    <row r="81" spans="1:9" ht="57" x14ac:dyDescent="0.25">
      <c r="A81" s="98"/>
      <c r="B81" s="99"/>
      <c r="C81" s="99"/>
      <c r="D81" s="24" t="s">
        <v>180</v>
      </c>
      <c r="E81" s="24" t="s">
        <v>191</v>
      </c>
      <c r="F81" s="16">
        <v>0</v>
      </c>
      <c r="G81" s="16">
        <v>0</v>
      </c>
      <c r="H81" s="16">
        <v>0</v>
      </c>
      <c r="I81" s="16">
        <f t="shared" si="1"/>
        <v>0</v>
      </c>
    </row>
    <row r="82" spans="1:9" ht="42.75" x14ac:dyDescent="0.25">
      <c r="A82" s="98"/>
      <c r="B82" s="99" t="s">
        <v>292</v>
      </c>
      <c r="C82" s="99" t="s">
        <v>293</v>
      </c>
      <c r="D82" s="24" t="s">
        <v>182</v>
      </c>
      <c r="E82" s="24" t="s">
        <v>183</v>
      </c>
      <c r="F82" s="16">
        <v>0</v>
      </c>
      <c r="G82" s="16">
        <v>0</v>
      </c>
      <c r="H82" s="16">
        <v>0</v>
      </c>
      <c r="I82" s="16">
        <f t="shared" si="1"/>
        <v>0</v>
      </c>
    </row>
    <row r="83" spans="1:9" ht="71.25" x14ac:dyDescent="0.25">
      <c r="A83" s="98"/>
      <c r="B83" s="99"/>
      <c r="C83" s="99"/>
      <c r="D83" s="24" t="s">
        <v>184</v>
      </c>
      <c r="E83" s="24" t="s">
        <v>193</v>
      </c>
      <c r="F83" s="16">
        <v>0</v>
      </c>
      <c r="G83" s="16">
        <v>0</v>
      </c>
      <c r="H83" s="16">
        <v>0</v>
      </c>
      <c r="I83" s="16">
        <f t="shared" si="1"/>
        <v>0</v>
      </c>
    </row>
    <row r="84" spans="1:9" ht="71.25" x14ac:dyDescent="0.25">
      <c r="A84" s="98"/>
      <c r="B84" s="99" t="s">
        <v>294</v>
      </c>
      <c r="C84" s="99" t="s">
        <v>295</v>
      </c>
      <c r="D84" s="24" t="s">
        <v>186</v>
      </c>
      <c r="E84" s="24" t="s">
        <v>181</v>
      </c>
      <c r="F84" s="16">
        <v>0</v>
      </c>
      <c r="G84" s="16">
        <v>0</v>
      </c>
      <c r="H84" s="16">
        <v>0</v>
      </c>
      <c r="I84" s="16">
        <f t="shared" si="1"/>
        <v>0</v>
      </c>
    </row>
    <row r="85" spans="1:9" ht="57" x14ac:dyDescent="0.25">
      <c r="A85" s="98"/>
      <c r="B85" s="98"/>
      <c r="C85" s="98"/>
      <c r="D85" s="24" t="s">
        <v>188</v>
      </c>
      <c r="E85" s="24" t="s">
        <v>185</v>
      </c>
      <c r="F85" s="16">
        <v>0</v>
      </c>
      <c r="G85" s="16">
        <v>0</v>
      </c>
      <c r="H85" s="16">
        <v>0</v>
      </c>
      <c r="I85" s="16">
        <f t="shared" si="1"/>
        <v>0</v>
      </c>
    </row>
    <row r="86" spans="1:9" ht="57" x14ac:dyDescent="0.25">
      <c r="A86" s="98"/>
      <c r="B86" s="99"/>
      <c r="C86" s="99"/>
      <c r="D86" s="24" t="s">
        <v>190</v>
      </c>
      <c r="E86" s="24" t="s">
        <v>187</v>
      </c>
      <c r="F86" s="16">
        <v>0</v>
      </c>
      <c r="G86" s="16">
        <v>0</v>
      </c>
      <c r="H86" s="16">
        <v>0</v>
      </c>
      <c r="I86" s="16">
        <f t="shared" si="1"/>
        <v>0</v>
      </c>
    </row>
    <row r="87" spans="1:9" ht="71.25" x14ac:dyDescent="0.25">
      <c r="A87" s="98"/>
      <c r="B87" s="24" t="s">
        <v>296</v>
      </c>
      <c r="C87" s="36" t="s">
        <v>317</v>
      </c>
      <c r="D87" s="24" t="s">
        <v>192</v>
      </c>
      <c r="E87" s="24" t="s">
        <v>189</v>
      </c>
      <c r="F87" s="16">
        <v>0</v>
      </c>
      <c r="G87" s="16">
        <v>0</v>
      </c>
      <c r="H87" s="16">
        <v>0</v>
      </c>
      <c r="I87" s="16">
        <f t="shared" si="1"/>
        <v>0</v>
      </c>
    </row>
    <row r="88" spans="1:9" ht="28.5" x14ac:dyDescent="0.25">
      <c r="A88" s="100" t="s">
        <v>10</v>
      </c>
      <c r="B88" s="101" t="s">
        <v>297</v>
      </c>
      <c r="C88" s="101" t="s">
        <v>298</v>
      </c>
      <c r="D88" s="25" t="s">
        <v>194</v>
      </c>
      <c r="E88" s="25" t="s">
        <v>197</v>
      </c>
      <c r="F88" s="16">
        <v>0</v>
      </c>
      <c r="G88" s="16">
        <v>0</v>
      </c>
      <c r="H88" s="16">
        <v>0</v>
      </c>
      <c r="I88" s="16">
        <f t="shared" si="1"/>
        <v>0</v>
      </c>
    </row>
    <row r="89" spans="1:9" ht="57" x14ac:dyDescent="0.25">
      <c r="A89" s="100"/>
      <c r="B89" s="100"/>
      <c r="C89" s="100"/>
      <c r="D89" s="25" t="s">
        <v>196</v>
      </c>
      <c r="E89" s="25" t="s">
        <v>201</v>
      </c>
      <c r="F89" s="16">
        <v>0</v>
      </c>
      <c r="G89" s="16">
        <v>0</v>
      </c>
      <c r="H89" s="16">
        <v>0</v>
      </c>
      <c r="I89" s="16">
        <f t="shared" si="1"/>
        <v>0</v>
      </c>
    </row>
    <row r="90" spans="1:9" ht="42.75" x14ac:dyDescent="0.25">
      <c r="A90" s="100"/>
      <c r="B90" s="101"/>
      <c r="C90" s="101"/>
      <c r="D90" s="25" t="s">
        <v>198</v>
      </c>
      <c r="E90" s="25" t="s">
        <v>203</v>
      </c>
      <c r="F90" s="16">
        <v>0</v>
      </c>
      <c r="G90" s="16">
        <v>0</v>
      </c>
      <c r="H90" s="16">
        <v>0</v>
      </c>
      <c r="I90" s="16">
        <f t="shared" si="1"/>
        <v>0</v>
      </c>
    </row>
    <row r="91" spans="1:9" ht="42.75" x14ac:dyDescent="0.25">
      <c r="A91" s="100"/>
      <c r="B91" s="101" t="s">
        <v>299</v>
      </c>
      <c r="C91" s="101" t="s">
        <v>300</v>
      </c>
      <c r="D91" s="25" t="s">
        <v>200</v>
      </c>
      <c r="E91" s="25" t="s">
        <v>195</v>
      </c>
      <c r="F91" s="16">
        <v>0</v>
      </c>
      <c r="G91" s="16">
        <v>0</v>
      </c>
      <c r="H91" s="16">
        <v>0</v>
      </c>
      <c r="I91" s="16">
        <f t="shared" si="1"/>
        <v>0</v>
      </c>
    </row>
    <row r="92" spans="1:9" ht="57" x14ac:dyDescent="0.25">
      <c r="A92" s="100"/>
      <c r="B92" s="101"/>
      <c r="C92" s="101"/>
      <c r="D92" s="25" t="s">
        <v>202</v>
      </c>
      <c r="E92" s="25" t="s">
        <v>205</v>
      </c>
      <c r="F92" s="16">
        <v>0</v>
      </c>
      <c r="G92" s="16">
        <v>0</v>
      </c>
      <c r="H92" s="16">
        <v>0</v>
      </c>
      <c r="I92" s="16">
        <f t="shared" si="1"/>
        <v>0</v>
      </c>
    </row>
    <row r="93" spans="1:9" ht="42.75" x14ac:dyDescent="0.25">
      <c r="A93" s="100"/>
      <c r="B93" s="101" t="s">
        <v>301</v>
      </c>
      <c r="C93" s="101" t="s">
        <v>302</v>
      </c>
      <c r="D93" s="25" t="s">
        <v>204</v>
      </c>
      <c r="E93" s="25" t="s">
        <v>207</v>
      </c>
      <c r="F93" s="38">
        <v>0</v>
      </c>
      <c r="G93" s="38">
        <v>1</v>
      </c>
      <c r="H93" s="38">
        <v>1</v>
      </c>
      <c r="I93" s="38">
        <f t="shared" si="1"/>
        <v>2</v>
      </c>
    </row>
    <row r="94" spans="1:9" ht="57" x14ac:dyDescent="0.25">
      <c r="A94" s="100"/>
      <c r="B94" s="101"/>
      <c r="C94" s="101"/>
      <c r="D94" s="25" t="s">
        <v>206</v>
      </c>
      <c r="E94" s="25" t="s">
        <v>211</v>
      </c>
      <c r="F94" s="16">
        <v>0</v>
      </c>
      <c r="G94" s="16">
        <v>0</v>
      </c>
      <c r="H94" s="16">
        <v>0</v>
      </c>
      <c r="I94" s="16">
        <f t="shared" si="1"/>
        <v>0</v>
      </c>
    </row>
    <row r="95" spans="1:9" ht="42.75" x14ac:dyDescent="0.25">
      <c r="A95" s="100"/>
      <c r="B95" s="101" t="s">
        <v>303</v>
      </c>
      <c r="C95" s="101" t="s">
        <v>304</v>
      </c>
      <c r="D95" s="25" t="s">
        <v>208</v>
      </c>
      <c r="E95" s="25" t="s">
        <v>199</v>
      </c>
      <c r="F95" s="16">
        <v>0</v>
      </c>
      <c r="G95" s="16">
        <v>0</v>
      </c>
      <c r="H95" s="16">
        <v>0</v>
      </c>
      <c r="I95" s="16">
        <f t="shared" si="1"/>
        <v>0</v>
      </c>
    </row>
    <row r="96" spans="1:9" ht="71.25" x14ac:dyDescent="0.25">
      <c r="A96" s="100"/>
      <c r="B96" s="100"/>
      <c r="C96" s="100"/>
      <c r="D96" s="25" t="s">
        <v>210</v>
      </c>
      <c r="E96" s="25" t="s">
        <v>209</v>
      </c>
      <c r="F96" s="16">
        <v>0</v>
      </c>
      <c r="G96" s="16">
        <v>0</v>
      </c>
      <c r="H96" s="16">
        <v>0</v>
      </c>
      <c r="I96" s="16">
        <f t="shared" si="1"/>
        <v>0</v>
      </c>
    </row>
    <row r="97" spans="1:9" ht="57" x14ac:dyDescent="0.25">
      <c r="A97" s="102" t="s">
        <v>8</v>
      </c>
      <c r="B97" s="103" t="s">
        <v>305</v>
      </c>
      <c r="C97" s="103" t="s">
        <v>306</v>
      </c>
      <c r="D97" s="26" t="s">
        <v>212</v>
      </c>
      <c r="E97" s="26" t="s">
        <v>213</v>
      </c>
      <c r="F97" s="16">
        <v>0</v>
      </c>
      <c r="G97" s="16">
        <v>0</v>
      </c>
      <c r="H97" s="16">
        <v>0</v>
      </c>
      <c r="I97" s="16">
        <f t="shared" si="1"/>
        <v>0</v>
      </c>
    </row>
    <row r="98" spans="1:9" ht="57" x14ac:dyDescent="0.25">
      <c r="A98" s="102"/>
      <c r="B98" s="103"/>
      <c r="C98" s="103"/>
      <c r="D98" s="26" t="s">
        <v>214</v>
      </c>
      <c r="E98" s="26" t="s">
        <v>219</v>
      </c>
      <c r="F98" s="16">
        <v>0</v>
      </c>
      <c r="G98" s="16">
        <v>0</v>
      </c>
      <c r="H98" s="16">
        <v>0</v>
      </c>
      <c r="I98" s="16">
        <f t="shared" si="1"/>
        <v>0</v>
      </c>
    </row>
    <row r="99" spans="1:9" ht="57" x14ac:dyDescent="0.25">
      <c r="A99" s="102"/>
      <c r="B99" s="103" t="s">
        <v>307</v>
      </c>
      <c r="C99" s="103" t="s">
        <v>308</v>
      </c>
      <c r="D99" s="26" t="s">
        <v>216</v>
      </c>
      <c r="E99" s="26" t="s">
        <v>217</v>
      </c>
      <c r="F99" s="16">
        <v>0</v>
      </c>
      <c r="G99" s="16">
        <v>0</v>
      </c>
      <c r="H99" s="16">
        <v>0</v>
      </c>
      <c r="I99" s="16">
        <f t="shared" si="1"/>
        <v>0</v>
      </c>
    </row>
    <row r="100" spans="1:9" ht="85.5" x14ac:dyDescent="0.25">
      <c r="A100" s="102"/>
      <c r="B100" s="103"/>
      <c r="C100" s="103"/>
      <c r="D100" s="26" t="s">
        <v>218</v>
      </c>
      <c r="E100" s="26" t="s">
        <v>221</v>
      </c>
      <c r="F100" s="16">
        <v>0</v>
      </c>
      <c r="G100" s="16">
        <v>0</v>
      </c>
      <c r="H100" s="16">
        <v>0</v>
      </c>
      <c r="I100" s="16">
        <f t="shared" si="1"/>
        <v>0</v>
      </c>
    </row>
    <row r="101" spans="1:9" ht="71.25" x14ac:dyDescent="0.25">
      <c r="A101" s="102"/>
      <c r="B101" s="26" t="s">
        <v>309</v>
      </c>
      <c r="C101" s="26" t="s">
        <v>310</v>
      </c>
      <c r="D101" s="26" t="s">
        <v>220</v>
      </c>
      <c r="E101" s="26" t="s">
        <v>215</v>
      </c>
      <c r="F101" s="16">
        <v>0</v>
      </c>
      <c r="G101" s="16">
        <v>0</v>
      </c>
      <c r="H101" s="16">
        <v>0</v>
      </c>
      <c r="I101" s="16">
        <f t="shared" si="1"/>
        <v>0</v>
      </c>
    </row>
    <row r="102" spans="1:9" x14ac:dyDescent="0.25">
      <c r="C102" s="27" t="s">
        <v>311</v>
      </c>
      <c r="D102" s="27">
        <f>COUNTA(B2:B101)</f>
        <v>43</v>
      </c>
      <c r="E102" s="27" t="s">
        <v>222</v>
      </c>
      <c r="F102" s="30">
        <f>SUM(F2:F101)</f>
        <v>25</v>
      </c>
      <c r="G102" s="30">
        <f t="shared" ref="G102:H102" si="2">SUM(G2:G101)</f>
        <v>25</v>
      </c>
      <c r="H102" s="30">
        <f t="shared" si="2"/>
        <v>25</v>
      </c>
      <c r="I102" s="27">
        <f>SUM(I2:I101)</f>
        <v>75</v>
      </c>
    </row>
  </sheetData>
  <mergeCells count="87">
    <mergeCell ref="D46:D47"/>
    <mergeCell ref="E46:E47"/>
    <mergeCell ref="I46:I47"/>
    <mergeCell ref="F46:F47"/>
    <mergeCell ref="G46:G47"/>
    <mergeCell ref="H46:H47"/>
    <mergeCell ref="A97:A101"/>
    <mergeCell ref="B97:B98"/>
    <mergeCell ref="C97:C98"/>
    <mergeCell ref="B99:B100"/>
    <mergeCell ref="C99:C100"/>
    <mergeCell ref="A88:A96"/>
    <mergeCell ref="B88:B90"/>
    <mergeCell ref="C88:C90"/>
    <mergeCell ref="B91:B92"/>
    <mergeCell ref="C91:C92"/>
    <mergeCell ref="B93:B94"/>
    <mergeCell ref="C93:C94"/>
    <mergeCell ref="B95:B96"/>
    <mergeCell ref="C95:C96"/>
    <mergeCell ref="A79:A87"/>
    <mergeCell ref="B79:B81"/>
    <mergeCell ref="C79:C81"/>
    <mergeCell ref="B82:B83"/>
    <mergeCell ref="C82:C83"/>
    <mergeCell ref="B84:B86"/>
    <mergeCell ref="C84:C86"/>
    <mergeCell ref="A68:A78"/>
    <mergeCell ref="B68:B70"/>
    <mergeCell ref="C68:C70"/>
    <mergeCell ref="B71:B74"/>
    <mergeCell ref="C71:C74"/>
    <mergeCell ref="B75:B76"/>
    <mergeCell ref="C75:C76"/>
    <mergeCell ref="A59:A67"/>
    <mergeCell ref="B60:B61"/>
    <mergeCell ref="C60:C61"/>
    <mergeCell ref="B62:B64"/>
    <mergeCell ref="C62:C64"/>
    <mergeCell ref="B65:B67"/>
    <mergeCell ref="C65:C67"/>
    <mergeCell ref="C50:C52"/>
    <mergeCell ref="A53:A58"/>
    <mergeCell ref="B53:B54"/>
    <mergeCell ref="C53:C54"/>
    <mergeCell ref="B56:B57"/>
    <mergeCell ref="C56:C57"/>
    <mergeCell ref="A38:A52"/>
    <mergeCell ref="B38:B40"/>
    <mergeCell ref="C38:C40"/>
    <mergeCell ref="B41:B44"/>
    <mergeCell ref="C41:C44"/>
    <mergeCell ref="B45:B47"/>
    <mergeCell ref="C45:C47"/>
    <mergeCell ref="B48:B49"/>
    <mergeCell ref="C48:C49"/>
    <mergeCell ref="B50:B52"/>
    <mergeCell ref="A30:A37"/>
    <mergeCell ref="B30:B32"/>
    <mergeCell ref="C30:C32"/>
    <mergeCell ref="B33:B34"/>
    <mergeCell ref="C33:C34"/>
    <mergeCell ref="B35:B37"/>
    <mergeCell ref="C35:C37"/>
    <mergeCell ref="A21:A29"/>
    <mergeCell ref="B21:B23"/>
    <mergeCell ref="C21:C23"/>
    <mergeCell ref="B24:B25"/>
    <mergeCell ref="C24:C25"/>
    <mergeCell ref="B26:B27"/>
    <mergeCell ref="C26:C27"/>
    <mergeCell ref="B28:B29"/>
    <mergeCell ref="C28:C29"/>
    <mergeCell ref="A12:A20"/>
    <mergeCell ref="B12:B14"/>
    <mergeCell ref="C12:C14"/>
    <mergeCell ref="B15:B17"/>
    <mergeCell ref="C15:C17"/>
    <mergeCell ref="B18:B20"/>
    <mergeCell ref="C18:C20"/>
    <mergeCell ref="A2:A11"/>
    <mergeCell ref="B2:B4"/>
    <mergeCell ref="C2:C4"/>
    <mergeCell ref="B5:B7"/>
    <mergeCell ref="C5:C7"/>
    <mergeCell ref="B8:B10"/>
    <mergeCell ref="C8:C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A8098-A04A-436C-B6EE-337879492A8C}">
  <dimension ref="A1:F31"/>
  <sheetViews>
    <sheetView zoomScale="81" workbookViewId="0">
      <selection activeCell="C27" sqref="C27"/>
    </sheetView>
  </sheetViews>
  <sheetFormatPr baseColWidth="10" defaultRowHeight="15" x14ac:dyDescent="0.25"/>
  <cols>
    <col min="1" max="1" width="23.140625" customWidth="1"/>
    <col min="2" max="2" width="25.28515625" customWidth="1"/>
    <col min="3" max="3" width="34.5703125" customWidth="1"/>
    <col min="4" max="4" width="30.140625" customWidth="1"/>
    <col min="5" max="5" width="35.5703125" customWidth="1"/>
  </cols>
  <sheetData>
    <row r="1" spans="1:6" ht="47.25" customHeight="1" x14ac:dyDescent="0.25">
      <c r="A1" s="51" t="s">
        <v>19</v>
      </c>
      <c r="B1" s="52" t="s">
        <v>223</v>
      </c>
      <c r="C1" s="52" t="s">
        <v>320</v>
      </c>
      <c r="D1" s="53" t="s">
        <v>225</v>
      </c>
      <c r="E1" s="52" t="s">
        <v>321</v>
      </c>
      <c r="F1" s="138"/>
    </row>
    <row r="2" spans="1:6" ht="86.25" x14ac:dyDescent="0.25">
      <c r="A2" s="117" t="s">
        <v>3</v>
      </c>
      <c r="B2" s="63" t="s">
        <v>227</v>
      </c>
      <c r="C2" s="64" t="s">
        <v>462</v>
      </c>
      <c r="D2" s="140" t="s">
        <v>38</v>
      </c>
      <c r="E2" s="43" t="s">
        <v>46</v>
      </c>
      <c r="F2" s="133"/>
    </row>
    <row r="3" spans="1:6" ht="57" x14ac:dyDescent="0.25">
      <c r="A3" s="117"/>
      <c r="B3" s="42" t="s">
        <v>229</v>
      </c>
      <c r="C3" s="42" t="s">
        <v>230</v>
      </c>
      <c r="D3" s="42" t="s">
        <v>40</v>
      </c>
      <c r="E3" s="134" t="s">
        <v>25</v>
      </c>
      <c r="F3" s="139"/>
    </row>
    <row r="4" spans="1:6" ht="57" x14ac:dyDescent="0.25">
      <c r="A4" s="117"/>
      <c r="B4" s="124" t="s">
        <v>231</v>
      </c>
      <c r="C4" s="125" t="s">
        <v>232</v>
      </c>
      <c r="D4" s="42" t="s">
        <v>45</v>
      </c>
      <c r="E4" s="135" t="s">
        <v>313</v>
      </c>
      <c r="F4" s="139"/>
    </row>
    <row r="5" spans="1:6" ht="57" customHeight="1" x14ac:dyDescent="0.25">
      <c r="A5" s="118"/>
      <c r="B5" s="124"/>
      <c r="C5" s="125"/>
      <c r="D5" s="42" t="s">
        <v>47</v>
      </c>
      <c r="E5" s="134" t="s">
        <v>24</v>
      </c>
      <c r="F5" s="139"/>
    </row>
    <row r="6" spans="1:6" ht="57" customHeight="1" x14ac:dyDescent="0.25">
      <c r="A6" s="119" t="s">
        <v>5</v>
      </c>
      <c r="B6" s="122" t="s">
        <v>235</v>
      </c>
      <c r="C6" s="122" t="s">
        <v>236</v>
      </c>
      <c r="D6" s="44" t="s">
        <v>53</v>
      </c>
      <c r="E6" s="136" t="s">
        <v>54</v>
      </c>
      <c r="F6" s="139"/>
    </row>
    <row r="7" spans="1:6" ht="55.15" customHeight="1" x14ac:dyDescent="0.25">
      <c r="A7" s="120"/>
      <c r="B7" s="123"/>
      <c r="C7" s="123"/>
      <c r="D7" s="66" t="s">
        <v>55</v>
      </c>
      <c r="E7" s="137" t="s">
        <v>26</v>
      </c>
      <c r="F7" s="133"/>
    </row>
    <row r="8" spans="1:6" ht="42.75" customHeight="1" x14ac:dyDescent="0.25">
      <c r="A8" s="120"/>
      <c r="B8" s="127" t="s">
        <v>237</v>
      </c>
      <c r="C8" s="127" t="s">
        <v>238</v>
      </c>
      <c r="D8" s="44" t="s">
        <v>59</v>
      </c>
      <c r="E8" s="44" t="s">
        <v>58</v>
      </c>
    </row>
    <row r="9" spans="1:6" ht="57" customHeight="1" x14ac:dyDescent="0.25">
      <c r="A9" s="121"/>
      <c r="B9" s="127"/>
      <c r="C9" s="127"/>
      <c r="D9" s="44" t="s">
        <v>61</v>
      </c>
      <c r="E9" s="44" t="s">
        <v>62</v>
      </c>
    </row>
    <row r="10" spans="1:6" ht="28.5" customHeight="1" x14ac:dyDescent="0.25">
      <c r="A10" s="128" t="s">
        <v>323</v>
      </c>
      <c r="B10" s="82" t="s">
        <v>241</v>
      </c>
      <c r="C10" s="126" t="s">
        <v>318</v>
      </c>
      <c r="D10" s="45" t="s">
        <v>70</v>
      </c>
      <c r="E10" s="45" t="s">
        <v>71</v>
      </c>
    </row>
    <row r="11" spans="1:6" ht="71.25" x14ac:dyDescent="0.25">
      <c r="A11" s="128"/>
      <c r="B11" s="82"/>
      <c r="C11" s="126"/>
      <c r="D11" s="45" t="s">
        <v>74</v>
      </c>
      <c r="E11" s="45" t="s">
        <v>82</v>
      </c>
    </row>
    <row r="12" spans="1:6" ht="71.25" x14ac:dyDescent="0.25">
      <c r="A12" s="128"/>
      <c r="B12" s="45" t="s">
        <v>242</v>
      </c>
      <c r="C12" s="45" t="s">
        <v>243</v>
      </c>
      <c r="D12" s="45" t="s">
        <v>76</v>
      </c>
      <c r="E12" s="45" t="s">
        <v>75</v>
      </c>
    </row>
    <row r="13" spans="1:6" x14ac:dyDescent="0.25">
      <c r="A13" s="128"/>
      <c r="B13" s="107" t="s">
        <v>246</v>
      </c>
      <c r="C13" s="107" t="s">
        <v>247</v>
      </c>
      <c r="D13" s="107" t="s">
        <v>83</v>
      </c>
      <c r="E13" s="107" t="s">
        <v>80</v>
      </c>
    </row>
    <row r="14" spans="1:6" ht="69" customHeight="1" x14ac:dyDescent="0.25">
      <c r="A14" s="128"/>
      <c r="B14" s="108"/>
      <c r="C14" s="108"/>
      <c r="D14" s="108"/>
      <c r="E14" s="108"/>
    </row>
    <row r="15" spans="1:6" ht="85.5" x14ac:dyDescent="0.25">
      <c r="A15" s="129" t="s">
        <v>0</v>
      </c>
      <c r="B15" s="41" t="s">
        <v>248</v>
      </c>
      <c r="C15" s="41" t="s">
        <v>249</v>
      </c>
      <c r="D15" s="41" t="s">
        <v>88</v>
      </c>
      <c r="E15" s="41" t="s">
        <v>95</v>
      </c>
    </row>
    <row r="16" spans="1:6" ht="57" customHeight="1" x14ac:dyDescent="0.25">
      <c r="A16" s="129"/>
      <c r="B16" s="88" t="s">
        <v>250</v>
      </c>
      <c r="C16" s="88" t="s">
        <v>251</v>
      </c>
      <c r="D16" s="109" t="s">
        <v>94</v>
      </c>
      <c r="E16" s="111" t="s">
        <v>93</v>
      </c>
    </row>
    <row r="17" spans="1:6" ht="40.15" customHeight="1" x14ac:dyDescent="0.25">
      <c r="A17" s="129"/>
      <c r="B17" s="88"/>
      <c r="C17" s="88"/>
      <c r="D17" s="110"/>
      <c r="E17" s="112"/>
    </row>
    <row r="18" spans="1:6" ht="57" customHeight="1" x14ac:dyDescent="0.25">
      <c r="A18" s="129"/>
      <c r="B18" s="88" t="s">
        <v>252</v>
      </c>
      <c r="C18" s="88" t="s">
        <v>253</v>
      </c>
      <c r="D18" s="41" t="s">
        <v>96</v>
      </c>
      <c r="E18" s="41" t="s">
        <v>87</v>
      </c>
    </row>
    <row r="19" spans="1:6" ht="85.5" customHeight="1" x14ac:dyDescent="0.25">
      <c r="A19" s="129"/>
      <c r="B19" s="88"/>
      <c r="C19" s="88"/>
      <c r="D19" s="41" t="s">
        <v>100</v>
      </c>
      <c r="E19" s="41" t="s">
        <v>101</v>
      </c>
    </row>
    <row r="20" spans="1:6" ht="73.900000000000006" customHeight="1" x14ac:dyDescent="0.25">
      <c r="A20" s="130" t="s">
        <v>324</v>
      </c>
      <c r="B20" s="113" t="s">
        <v>256</v>
      </c>
      <c r="C20" s="113" t="s">
        <v>257</v>
      </c>
      <c r="D20" s="67" t="s">
        <v>107</v>
      </c>
      <c r="E20" s="20" t="s">
        <v>118</v>
      </c>
      <c r="F20" s="132"/>
    </row>
    <row r="21" spans="1:6" ht="71.25" x14ac:dyDescent="0.25">
      <c r="A21" s="130"/>
      <c r="B21" s="114"/>
      <c r="C21" s="114"/>
      <c r="D21" s="47" t="s">
        <v>109</v>
      </c>
      <c r="E21" s="47" t="s">
        <v>121</v>
      </c>
    </row>
    <row r="22" spans="1:6" ht="71.25" x14ac:dyDescent="0.25">
      <c r="A22" s="130"/>
      <c r="B22" s="115"/>
      <c r="C22" s="115"/>
      <c r="D22" s="47" t="s">
        <v>111</v>
      </c>
      <c r="E22" s="47" t="s">
        <v>123</v>
      </c>
    </row>
    <row r="23" spans="1:6" ht="91.5" customHeight="1" x14ac:dyDescent="0.25">
      <c r="A23" s="130"/>
      <c r="B23" s="47" t="s">
        <v>258</v>
      </c>
      <c r="C23" s="47" t="s">
        <v>259</v>
      </c>
      <c r="D23" s="47" t="s">
        <v>117</v>
      </c>
      <c r="E23" s="47" t="s">
        <v>112</v>
      </c>
    </row>
    <row r="24" spans="1:6" ht="71.25" x14ac:dyDescent="0.25">
      <c r="A24" s="130"/>
      <c r="B24" s="116" t="s">
        <v>262</v>
      </c>
      <c r="C24" s="116" t="s">
        <v>263</v>
      </c>
      <c r="D24" s="47" t="s">
        <v>122</v>
      </c>
      <c r="E24" s="47" t="s">
        <v>30</v>
      </c>
    </row>
    <row r="25" spans="1:6" ht="71.25" customHeight="1" x14ac:dyDescent="0.25">
      <c r="A25" s="130"/>
      <c r="B25" s="116"/>
      <c r="C25" s="116"/>
      <c r="D25" s="47" t="s">
        <v>125</v>
      </c>
      <c r="E25" s="47" t="s">
        <v>116</v>
      </c>
    </row>
    <row r="26" spans="1:6" ht="57" customHeight="1" x14ac:dyDescent="0.25">
      <c r="A26" s="54" t="s">
        <v>2</v>
      </c>
      <c r="B26" s="48" t="s">
        <v>266</v>
      </c>
      <c r="C26" s="48" t="s">
        <v>267</v>
      </c>
      <c r="D26" s="48" t="s">
        <v>130</v>
      </c>
      <c r="E26" s="48" t="s">
        <v>129</v>
      </c>
    </row>
    <row r="27" spans="1:6" ht="68.25" customHeight="1" x14ac:dyDescent="0.25">
      <c r="A27" s="131" t="s">
        <v>1</v>
      </c>
      <c r="B27" s="49" t="s">
        <v>280</v>
      </c>
      <c r="C27" s="49" t="s">
        <v>281</v>
      </c>
      <c r="D27" s="49" t="s">
        <v>156</v>
      </c>
      <c r="E27" s="49" t="s">
        <v>32</v>
      </c>
    </row>
    <row r="28" spans="1:6" ht="57" customHeight="1" x14ac:dyDescent="0.25">
      <c r="A28" s="131"/>
      <c r="B28" s="49" t="s">
        <v>282</v>
      </c>
      <c r="C28" s="49" t="s">
        <v>283</v>
      </c>
      <c r="D28" s="49" t="s">
        <v>160</v>
      </c>
      <c r="E28" s="49" t="s">
        <v>33</v>
      </c>
    </row>
    <row r="29" spans="1:6" ht="42.75" x14ac:dyDescent="0.25">
      <c r="A29" s="131"/>
      <c r="B29" s="49" t="s">
        <v>286</v>
      </c>
      <c r="C29" s="49" t="s">
        <v>287</v>
      </c>
      <c r="D29" s="49" t="s">
        <v>172</v>
      </c>
      <c r="E29" s="49" t="s">
        <v>161</v>
      </c>
    </row>
    <row r="30" spans="1:6" ht="57" customHeight="1" x14ac:dyDescent="0.25">
      <c r="A30" s="55" t="s">
        <v>10</v>
      </c>
      <c r="B30" s="50" t="s">
        <v>301</v>
      </c>
      <c r="C30" s="50" t="s">
        <v>302</v>
      </c>
      <c r="D30" s="50" t="s">
        <v>204</v>
      </c>
      <c r="E30" s="50" t="s">
        <v>207</v>
      </c>
    </row>
    <row r="31" spans="1:6" x14ac:dyDescent="0.25">
      <c r="B31" s="39"/>
      <c r="C31" s="39"/>
    </row>
  </sheetData>
  <mergeCells count="28">
    <mergeCell ref="A27:A29"/>
    <mergeCell ref="B8:B9"/>
    <mergeCell ref="C8:C9"/>
    <mergeCell ref="A10:A14"/>
    <mergeCell ref="A15:A19"/>
    <mergeCell ref="A20:A25"/>
    <mergeCell ref="B24:B25"/>
    <mergeCell ref="C24:C25"/>
    <mergeCell ref="A2:A5"/>
    <mergeCell ref="A6:A9"/>
    <mergeCell ref="B6:B7"/>
    <mergeCell ref="C6:C7"/>
    <mergeCell ref="B13:B14"/>
    <mergeCell ref="C13:C14"/>
    <mergeCell ref="B16:B17"/>
    <mergeCell ref="C16:C17"/>
    <mergeCell ref="B18:B19"/>
    <mergeCell ref="C18:C19"/>
    <mergeCell ref="B4:B5"/>
    <mergeCell ref="C4:C5"/>
    <mergeCell ref="B10:B11"/>
    <mergeCell ref="C10:C11"/>
    <mergeCell ref="D13:D14"/>
    <mergeCell ref="E13:E14"/>
    <mergeCell ref="D16:D17"/>
    <mergeCell ref="E16:E17"/>
    <mergeCell ref="B20:B22"/>
    <mergeCell ref="C20:C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902D6-9894-4083-A1C9-E5B9CF5B66B4}">
  <dimension ref="A1:J28"/>
  <sheetViews>
    <sheetView zoomScaleNormal="100" workbookViewId="0">
      <pane ySplit="1" topLeftCell="A2" activePane="bottomLeft" state="frozen"/>
      <selection pane="bottomLeft" activeCell="E4" sqref="E4"/>
    </sheetView>
  </sheetViews>
  <sheetFormatPr baseColWidth="10" defaultRowHeight="15" x14ac:dyDescent="0.25"/>
  <cols>
    <col min="1" max="1" width="20.140625" customWidth="1"/>
    <col min="2" max="2" width="41.42578125" customWidth="1"/>
    <col min="3" max="3" width="28.7109375" customWidth="1"/>
    <col min="4" max="4" width="23.28515625" customWidth="1"/>
    <col min="5" max="5" width="24.28515625" customWidth="1"/>
    <col min="6" max="6" width="20.140625" customWidth="1"/>
    <col min="7" max="7" width="21" customWidth="1"/>
    <col min="8" max="8" width="19" customWidth="1"/>
  </cols>
  <sheetData>
    <row r="1" spans="1:10" ht="36.75" customHeight="1" x14ac:dyDescent="0.25">
      <c r="A1" s="57" t="s">
        <v>325</v>
      </c>
      <c r="B1" s="57" t="s">
        <v>326</v>
      </c>
      <c r="C1" s="57" t="s">
        <v>328</v>
      </c>
      <c r="D1" s="57" t="s">
        <v>327</v>
      </c>
      <c r="E1" s="57" t="s">
        <v>329</v>
      </c>
      <c r="F1" s="57" t="s">
        <v>330</v>
      </c>
      <c r="G1" s="57" t="s">
        <v>331</v>
      </c>
      <c r="H1" s="57" t="s">
        <v>332</v>
      </c>
      <c r="I1" s="70"/>
      <c r="J1" s="70"/>
    </row>
    <row r="2" spans="1:10" ht="90" customHeight="1" x14ac:dyDescent="0.25">
      <c r="A2" s="43" t="s">
        <v>38</v>
      </c>
      <c r="B2" s="69" t="s">
        <v>46</v>
      </c>
      <c r="C2" s="6" t="s">
        <v>333</v>
      </c>
      <c r="D2" s="68" t="s">
        <v>463</v>
      </c>
      <c r="E2" s="68" t="s">
        <v>464</v>
      </c>
      <c r="F2" s="68" t="s">
        <v>465</v>
      </c>
      <c r="G2" s="68" t="s">
        <v>466</v>
      </c>
      <c r="H2" s="68" t="s">
        <v>467</v>
      </c>
      <c r="I2" s="70"/>
      <c r="J2" s="70"/>
    </row>
    <row r="3" spans="1:10" ht="90" x14ac:dyDescent="0.25">
      <c r="A3" s="42" t="s">
        <v>40</v>
      </c>
      <c r="B3" s="42" t="s">
        <v>25</v>
      </c>
      <c r="C3" s="9" t="s">
        <v>333</v>
      </c>
      <c r="D3" s="56" t="s">
        <v>336</v>
      </c>
      <c r="E3" s="56" t="s">
        <v>341</v>
      </c>
      <c r="F3" s="56" t="s">
        <v>334</v>
      </c>
      <c r="G3" s="56" t="s">
        <v>335</v>
      </c>
      <c r="H3" s="56" t="s">
        <v>342</v>
      </c>
      <c r="I3" s="70"/>
      <c r="J3" s="70"/>
    </row>
    <row r="4" spans="1:10" ht="165" x14ac:dyDescent="0.25">
      <c r="A4" s="42" t="s">
        <v>45</v>
      </c>
      <c r="B4" s="43" t="s">
        <v>313</v>
      </c>
      <c r="C4" s="56" t="s">
        <v>333</v>
      </c>
      <c r="D4" s="56" t="s">
        <v>337</v>
      </c>
      <c r="E4" s="56" t="s">
        <v>341</v>
      </c>
      <c r="F4" s="56" t="s">
        <v>338</v>
      </c>
      <c r="G4" s="56" t="s">
        <v>339</v>
      </c>
      <c r="H4" s="56" t="s">
        <v>340</v>
      </c>
      <c r="I4" s="70"/>
      <c r="J4" s="70"/>
    </row>
    <row r="5" spans="1:10" ht="105" x14ac:dyDescent="0.25">
      <c r="A5" s="42" t="s">
        <v>47</v>
      </c>
      <c r="B5" s="42" t="s">
        <v>24</v>
      </c>
      <c r="C5" s="56" t="s">
        <v>333</v>
      </c>
      <c r="D5" s="56" t="s">
        <v>343</v>
      </c>
      <c r="E5" s="56" t="s">
        <v>344</v>
      </c>
      <c r="F5" s="56" t="s">
        <v>345</v>
      </c>
      <c r="G5" s="56" t="s">
        <v>347</v>
      </c>
      <c r="H5" s="56" t="s">
        <v>348</v>
      </c>
      <c r="I5" s="70"/>
      <c r="J5" s="70"/>
    </row>
    <row r="6" spans="1:10" ht="135" x14ac:dyDescent="0.25">
      <c r="A6" s="44" t="s">
        <v>53</v>
      </c>
      <c r="B6" s="44" t="s">
        <v>54</v>
      </c>
      <c r="C6" s="56" t="s">
        <v>349</v>
      </c>
      <c r="D6" s="56" t="s">
        <v>346</v>
      </c>
      <c r="E6" s="56" t="s">
        <v>352</v>
      </c>
      <c r="F6" s="56" t="s">
        <v>354</v>
      </c>
      <c r="G6" s="56" t="s">
        <v>355</v>
      </c>
      <c r="H6" s="56" t="s">
        <v>356</v>
      </c>
      <c r="I6" s="70"/>
      <c r="J6" s="70"/>
    </row>
    <row r="7" spans="1:10" ht="112.15" customHeight="1" x14ac:dyDescent="0.25">
      <c r="A7" s="66" t="s">
        <v>55</v>
      </c>
      <c r="B7" s="17" t="s">
        <v>26</v>
      </c>
      <c r="C7" s="56" t="s">
        <v>349</v>
      </c>
      <c r="D7" s="56" t="s">
        <v>468</v>
      </c>
      <c r="E7" s="56" t="s">
        <v>469</v>
      </c>
      <c r="F7" s="56" t="s">
        <v>354</v>
      </c>
      <c r="G7" s="56" t="s">
        <v>470</v>
      </c>
      <c r="H7" s="56" t="s">
        <v>471</v>
      </c>
      <c r="I7" s="70"/>
      <c r="J7" s="70"/>
    </row>
    <row r="8" spans="1:10" ht="120" x14ac:dyDescent="0.25">
      <c r="A8" s="44" t="s">
        <v>59</v>
      </c>
      <c r="B8" s="44" t="s">
        <v>58</v>
      </c>
      <c r="C8" s="56" t="s">
        <v>350</v>
      </c>
      <c r="D8" s="56" t="s">
        <v>351</v>
      </c>
      <c r="E8" s="56" t="s">
        <v>353</v>
      </c>
      <c r="F8" s="56" t="s">
        <v>358</v>
      </c>
      <c r="G8" s="56" t="s">
        <v>360</v>
      </c>
      <c r="H8" s="56" t="s">
        <v>362</v>
      </c>
      <c r="I8" s="70"/>
      <c r="J8" s="70"/>
    </row>
    <row r="9" spans="1:10" ht="105" x14ac:dyDescent="0.25">
      <c r="A9" s="44" t="s">
        <v>61</v>
      </c>
      <c r="B9" s="44" t="s">
        <v>62</v>
      </c>
      <c r="C9" s="56" t="s">
        <v>333</v>
      </c>
      <c r="D9" s="56" t="s">
        <v>359</v>
      </c>
      <c r="E9" s="56" t="s">
        <v>363</v>
      </c>
      <c r="F9" s="56" t="s">
        <v>361</v>
      </c>
      <c r="G9" s="56" t="s">
        <v>364</v>
      </c>
      <c r="H9" s="56" t="s">
        <v>369</v>
      </c>
      <c r="I9" s="70"/>
      <c r="J9" s="70"/>
    </row>
    <row r="10" spans="1:10" ht="105" x14ac:dyDescent="0.25">
      <c r="A10" s="45" t="s">
        <v>70</v>
      </c>
      <c r="B10" s="45" t="s">
        <v>71</v>
      </c>
      <c r="C10" s="56" t="s">
        <v>333</v>
      </c>
      <c r="D10" s="56" t="s">
        <v>365</v>
      </c>
      <c r="E10" s="56" t="s">
        <v>366</v>
      </c>
      <c r="F10" s="56" t="s">
        <v>367</v>
      </c>
      <c r="G10" s="56" t="s">
        <v>368</v>
      </c>
      <c r="H10" s="56" t="s">
        <v>370</v>
      </c>
      <c r="I10" s="70"/>
      <c r="J10" s="70"/>
    </row>
    <row r="11" spans="1:10" ht="165" x14ac:dyDescent="0.25">
      <c r="A11" s="45" t="s">
        <v>74</v>
      </c>
      <c r="B11" s="45" t="s">
        <v>82</v>
      </c>
      <c r="C11" s="56" t="s">
        <v>357</v>
      </c>
      <c r="D11" s="56" t="s">
        <v>371</v>
      </c>
      <c r="E11" s="56" t="s">
        <v>372</v>
      </c>
      <c r="F11" s="56" t="s">
        <v>374</v>
      </c>
      <c r="G11" s="56" t="s">
        <v>375</v>
      </c>
      <c r="H11" s="56" t="s">
        <v>377</v>
      </c>
      <c r="I11" s="70"/>
      <c r="J11" s="70"/>
    </row>
    <row r="12" spans="1:10" ht="120" x14ac:dyDescent="0.25">
      <c r="A12" s="45" t="s">
        <v>76</v>
      </c>
      <c r="B12" s="45" t="s">
        <v>373</v>
      </c>
      <c r="C12" s="56" t="s">
        <v>357</v>
      </c>
      <c r="D12" s="56" t="s">
        <v>379</v>
      </c>
      <c r="E12" s="56" t="s">
        <v>366</v>
      </c>
      <c r="F12" s="56" t="s">
        <v>376</v>
      </c>
      <c r="G12" s="56" t="s">
        <v>380</v>
      </c>
      <c r="H12" s="56" t="s">
        <v>382</v>
      </c>
      <c r="I12" s="70"/>
      <c r="J12" s="70"/>
    </row>
    <row r="13" spans="1:10" ht="105" x14ac:dyDescent="0.25">
      <c r="A13" s="45" t="s">
        <v>83</v>
      </c>
      <c r="B13" s="45" t="s">
        <v>80</v>
      </c>
      <c r="C13" s="56" t="s">
        <v>357</v>
      </c>
      <c r="D13" s="56" t="s">
        <v>378</v>
      </c>
      <c r="E13" s="56" t="s">
        <v>381</v>
      </c>
      <c r="F13" s="56" t="s">
        <v>383</v>
      </c>
      <c r="G13" s="56" t="s">
        <v>384</v>
      </c>
      <c r="H13" s="56" t="s">
        <v>385</v>
      </c>
      <c r="I13" s="70"/>
      <c r="J13" s="70"/>
    </row>
    <row r="14" spans="1:10" ht="120" x14ac:dyDescent="0.25">
      <c r="A14" s="41" t="s">
        <v>88</v>
      </c>
      <c r="B14" s="41" t="s">
        <v>95</v>
      </c>
      <c r="C14" s="56" t="s">
        <v>390</v>
      </c>
      <c r="D14" s="56" t="s">
        <v>391</v>
      </c>
      <c r="E14" s="56" t="s">
        <v>394</v>
      </c>
      <c r="F14" s="56" t="s">
        <v>400</v>
      </c>
      <c r="G14" s="56" t="s">
        <v>401</v>
      </c>
      <c r="H14" s="56" t="s">
        <v>402</v>
      </c>
      <c r="I14" s="70"/>
      <c r="J14" s="70"/>
    </row>
    <row r="15" spans="1:10" ht="135" x14ac:dyDescent="0.25">
      <c r="A15" s="41" t="s">
        <v>94</v>
      </c>
      <c r="B15" s="46" t="s">
        <v>93</v>
      </c>
      <c r="C15" s="56" t="s">
        <v>386</v>
      </c>
      <c r="D15" s="56" t="s">
        <v>387</v>
      </c>
      <c r="E15" s="56" t="s">
        <v>388</v>
      </c>
      <c r="F15" s="60" t="s">
        <v>389</v>
      </c>
      <c r="G15" s="56" t="s">
        <v>392</v>
      </c>
      <c r="H15" s="56" t="s">
        <v>393</v>
      </c>
      <c r="I15" s="70"/>
      <c r="J15" s="70"/>
    </row>
    <row r="16" spans="1:10" ht="135" x14ac:dyDescent="0.25">
      <c r="A16" s="41" t="s">
        <v>96</v>
      </c>
      <c r="B16" s="41" t="s">
        <v>87</v>
      </c>
      <c r="C16" s="56" t="s">
        <v>395</v>
      </c>
      <c r="D16" s="56" t="s">
        <v>396</v>
      </c>
      <c r="E16" s="56" t="s">
        <v>397</v>
      </c>
      <c r="F16" s="56" t="s">
        <v>398</v>
      </c>
      <c r="G16" s="56" t="s">
        <v>399</v>
      </c>
      <c r="H16" s="56" t="s">
        <v>411</v>
      </c>
      <c r="I16" s="70"/>
      <c r="J16" s="70"/>
    </row>
    <row r="17" spans="1:10" ht="135" x14ac:dyDescent="0.25">
      <c r="A17" s="41" t="s">
        <v>100</v>
      </c>
      <c r="B17" s="41" t="s">
        <v>101</v>
      </c>
      <c r="C17" s="56" t="s">
        <v>403</v>
      </c>
      <c r="D17" s="56" t="s">
        <v>404</v>
      </c>
      <c r="E17" s="56" t="s">
        <v>405</v>
      </c>
      <c r="F17" s="56" t="s">
        <v>406</v>
      </c>
      <c r="G17" s="56" t="s">
        <v>407</v>
      </c>
      <c r="H17" s="56" t="s">
        <v>410</v>
      </c>
      <c r="I17" s="70"/>
      <c r="J17" s="70"/>
    </row>
    <row r="18" spans="1:10" ht="117.6" customHeight="1" x14ac:dyDescent="0.25">
      <c r="A18" s="67" t="s">
        <v>107</v>
      </c>
      <c r="B18" s="20" t="s">
        <v>118</v>
      </c>
      <c r="C18" s="68" t="s">
        <v>333</v>
      </c>
      <c r="D18" s="68" t="s">
        <v>472</v>
      </c>
      <c r="E18" s="68" t="s">
        <v>431</v>
      </c>
      <c r="F18" s="68" t="s">
        <v>473</v>
      </c>
      <c r="G18" s="68" t="s">
        <v>474</v>
      </c>
      <c r="H18" s="68" t="s">
        <v>475</v>
      </c>
      <c r="I18" s="70"/>
      <c r="J18" s="70"/>
    </row>
    <row r="19" spans="1:10" ht="150" x14ac:dyDescent="0.25">
      <c r="A19" s="47" t="s">
        <v>109</v>
      </c>
      <c r="B19" s="47" t="s">
        <v>121</v>
      </c>
      <c r="C19" s="56" t="s">
        <v>333</v>
      </c>
      <c r="D19" s="56" t="s">
        <v>408</v>
      </c>
      <c r="E19" s="56" t="s">
        <v>409</v>
      </c>
      <c r="F19" s="56" t="s">
        <v>412</v>
      </c>
      <c r="G19" s="56" t="s">
        <v>421</v>
      </c>
      <c r="H19" s="56" t="s">
        <v>423</v>
      </c>
      <c r="I19" s="70"/>
      <c r="J19" s="70"/>
    </row>
    <row r="20" spans="1:10" ht="135" x14ac:dyDescent="0.25">
      <c r="A20" s="47" t="s">
        <v>111</v>
      </c>
      <c r="B20" s="47" t="s">
        <v>123</v>
      </c>
      <c r="C20" s="56" t="s">
        <v>333</v>
      </c>
      <c r="D20" s="56" t="s">
        <v>413</v>
      </c>
      <c r="E20" s="56" t="s">
        <v>414</v>
      </c>
      <c r="F20" s="56" t="s">
        <v>415</v>
      </c>
      <c r="G20" s="56" t="s">
        <v>416</v>
      </c>
      <c r="H20" s="56" t="s">
        <v>417</v>
      </c>
      <c r="I20" s="70"/>
      <c r="J20" s="70"/>
    </row>
    <row r="21" spans="1:10" ht="90" x14ac:dyDescent="0.25">
      <c r="A21" s="47" t="s">
        <v>117</v>
      </c>
      <c r="B21" s="47" t="s">
        <v>112</v>
      </c>
      <c r="C21" s="56" t="s">
        <v>333</v>
      </c>
      <c r="D21" s="56" t="s">
        <v>418</v>
      </c>
      <c r="E21" s="56" t="s">
        <v>419</v>
      </c>
      <c r="F21" s="56" t="s">
        <v>420</v>
      </c>
      <c r="G21" s="56" t="s">
        <v>422</v>
      </c>
      <c r="H21" s="56" t="s">
        <v>424</v>
      </c>
      <c r="I21" s="70"/>
      <c r="J21" s="70"/>
    </row>
    <row r="22" spans="1:10" ht="120" x14ac:dyDescent="0.25">
      <c r="A22" s="47" t="s">
        <v>122</v>
      </c>
      <c r="B22" s="47" t="s">
        <v>30</v>
      </c>
      <c r="C22" s="56" t="s">
        <v>333</v>
      </c>
      <c r="D22" s="56" t="s">
        <v>425</v>
      </c>
      <c r="E22" s="56" t="s">
        <v>426</v>
      </c>
      <c r="F22" s="56" t="s">
        <v>427</v>
      </c>
      <c r="G22" s="56" t="s">
        <v>428</v>
      </c>
      <c r="H22" s="56" t="s">
        <v>430</v>
      </c>
      <c r="I22" s="70"/>
      <c r="J22" s="70"/>
    </row>
    <row r="23" spans="1:10" ht="150" x14ac:dyDescent="0.25">
      <c r="A23" s="47" t="s">
        <v>125</v>
      </c>
      <c r="B23" s="47" t="s">
        <v>116</v>
      </c>
      <c r="C23" s="56" t="s">
        <v>333</v>
      </c>
      <c r="D23" s="56" t="s">
        <v>429</v>
      </c>
      <c r="E23" s="56" t="s">
        <v>431</v>
      </c>
      <c r="F23" s="56" t="s">
        <v>435</v>
      </c>
      <c r="G23" s="56" t="s">
        <v>440</v>
      </c>
      <c r="H23" s="56" t="s">
        <v>444</v>
      </c>
      <c r="I23" s="70"/>
      <c r="J23" s="70"/>
    </row>
    <row r="24" spans="1:10" ht="150" x14ac:dyDescent="0.25">
      <c r="A24" s="48" t="s">
        <v>130</v>
      </c>
      <c r="B24" s="48" t="s">
        <v>129</v>
      </c>
      <c r="C24" s="56" t="s">
        <v>432</v>
      </c>
      <c r="D24" s="56" t="s">
        <v>433</v>
      </c>
      <c r="E24" s="56" t="s">
        <v>434</v>
      </c>
      <c r="F24" s="56" t="s">
        <v>436</v>
      </c>
      <c r="G24" s="56" t="s">
        <v>437</v>
      </c>
      <c r="H24" s="56" t="s">
        <v>438</v>
      </c>
      <c r="I24" s="70"/>
      <c r="J24" s="70"/>
    </row>
    <row r="25" spans="1:10" ht="120" x14ac:dyDescent="0.25">
      <c r="A25" s="49" t="s">
        <v>156</v>
      </c>
      <c r="B25" s="49" t="s">
        <v>32</v>
      </c>
      <c r="C25" s="56" t="s">
        <v>439</v>
      </c>
      <c r="D25" s="56" t="s">
        <v>441</v>
      </c>
      <c r="E25" s="56" t="s">
        <v>442</v>
      </c>
      <c r="F25" s="56" t="s">
        <v>443</v>
      </c>
      <c r="G25" s="56" t="s">
        <v>447</v>
      </c>
      <c r="H25" s="56" t="s">
        <v>449</v>
      </c>
      <c r="I25" s="70"/>
      <c r="J25" s="70"/>
    </row>
    <row r="26" spans="1:10" ht="135" x14ac:dyDescent="0.25">
      <c r="A26" s="49" t="s">
        <v>160</v>
      </c>
      <c r="B26" s="49" t="s">
        <v>33</v>
      </c>
      <c r="C26" s="56" t="s">
        <v>333</v>
      </c>
      <c r="D26" s="56" t="s">
        <v>445</v>
      </c>
      <c r="E26" s="56" t="s">
        <v>431</v>
      </c>
      <c r="F26" s="56" t="s">
        <v>446</v>
      </c>
      <c r="G26" s="56" t="s">
        <v>448</v>
      </c>
      <c r="H26" s="56" t="s">
        <v>450</v>
      </c>
      <c r="I26" s="70"/>
      <c r="J26" s="70"/>
    </row>
    <row r="27" spans="1:10" ht="90" x14ac:dyDescent="0.25">
      <c r="A27" s="49" t="s">
        <v>172</v>
      </c>
      <c r="B27" s="49" t="s">
        <v>161</v>
      </c>
      <c r="C27" s="56" t="s">
        <v>333</v>
      </c>
      <c r="D27" s="56" t="s">
        <v>451</v>
      </c>
      <c r="E27" s="56" t="s">
        <v>452</v>
      </c>
      <c r="F27" s="56" t="s">
        <v>454</v>
      </c>
      <c r="G27" s="56" t="s">
        <v>455</v>
      </c>
      <c r="H27" s="56" t="s">
        <v>457</v>
      </c>
      <c r="I27" s="70"/>
      <c r="J27" s="70"/>
    </row>
    <row r="28" spans="1:10" ht="135" x14ac:dyDescent="0.25">
      <c r="A28" s="50" t="s">
        <v>204</v>
      </c>
      <c r="B28" s="50" t="s">
        <v>207</v>
      </c>
      <c r="C28" s="56" t="s">
        <v>459</v>
      </c>
      <c r="D28" s="56" t="s">
        <v>461</v>
      </c>
      <c r="E28" s="56" t="s">
        <v>453</v>
      </c>
      <c r="F28" s="56" t="s">
        <v>458</v>
      </c>
      <c r="G28" s="56" t="s">
        <v>456</v>
      </c>
      <c r="H28" s="56" t="s">
        <v>460</v>
      </c>
      <c r="I28" s="70"/>
      <c r="J28" s="7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Tradeoff</vt:lpstr>
      <vt:lpstr>Priorización</vt:lpstr>
      <vt:lpstr>Lluvia de Escenarios</vt:lpstr>
      <vt:lpstr>Escenarios de Calidad escogidos</vt:lpstr>
      <vt:lpstr>Escenarios de Calidad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Garzon Ocampo</dc:creator>
  <cp:lastModifiedBy>Osval Ricardo Arrieta Garcia</cp:lastModifiedBy>
  <dcterms:created xsi:type="dcterms:W3CDTF">2026-08-19T23:34:26Z</dcterms:created>
  <dcterms:modified xsi:type="dcterms:W3CDTF">2026-08-26T15:22:36Z</dcterms:modified>
</cp:coreProperties>
</file>